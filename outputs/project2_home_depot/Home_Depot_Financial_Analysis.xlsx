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d5a437695b48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6e3069425a0d48f8"/>
    <x:sheet xmlns:r="http://schemas.openxmlformats.org/officeDocument/2006/relationships" name="Assumptions" sheetId="2" r:id="R747b90d33bae4a39"/>
    <x:sheet xmlns:r="http://schemas.openxmlformats.org/officeDocument/2006/relationships" name="Statements" sheetId="3" r:id="R7b1112987ff24ea7"/>
    <x:sheet xmlns:r="http://schemas.openxmlformats.org/officeDocument/2006/relationships" name="Ratios &amp; WC" sheetId="4" r:id="Rba3819da105047d7"/>
    <x:sheet xmlns:r="http://schemas.openxmlformats.org/officeDocument/2006/relationships" name="Advanced Analysis" sheetId="5" r:id="R06ef795adc914056"/>
    <x:sheet xmlns:r="http://schemas.openxmlformats.org/officeDocument/2006/relationships" name="Scenario Outlook" sheetId="6" r:id="Rfb9d73ee3c3f49b5"/>
    <x:sheet xmlns:r="http://schemas.openxmlformats.org/officeDocument/2006/relationships" name="Sensitivity" sheetId="7" r:id="R4a8cd8e8a66643ba"/>
    <x:sheet xmlns:r="http://schemas.openxmlformats.org/officeDocument/2006/relationships" name="Data" sheetId="8" r:id="R894a8918d2054c52"/>
    <x:sheet xmlns:r="http://schemas.openxmlformats.org/officeDocument/2006/relationships" name="Audit" sheetId="9" r:id="R8cc2b01ef78a42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"/>
    <x:numFmt numFmtId="201" formatCode="$#,##0;[Red]($#,##0);-"/>
    <x:numFmt numFmtId="202" formatCode="0.0%;[Red](0.0%);-"/>
    <x:numFmt numFmtId="203" formatCode="0.00x;[Red](0.00x);-"/>
    <x:numFmt numFmtId="204" formatCode="0.0 &quot;days&quot;"/>
    <x:numFmt numFmtId="205" formatCode="0.00;[Red](0.00);0.00"/>
  </x:numFmts>
  <x:fonts count="13">
    <x:font>
      <x:sz val="11"/>
      <x:name val="Carlito"/>
    </x:font>
    <x:font>
      <x:sz val="10"/>
      <x:color rgb="FF1F1F1F"/>
      <x:name val="Arial"/>
    </x:font>
    <x:font>
      <x:b/>
      <x:sz val="16"/>
      <x:color rgb="FF17365D"/>
      <x:name val="Arial"/>
    </x:font>
    <x:font>
      <x:i/>
      <x:sz val="10"/>
      <x:color rgb="FF666666"/>
      <x:name val="Arial"/>
    </x:font>
    <x:font>
      <x:b/>
      <x:sz val="10"/>
      <x:color rgb="FFFFFFFF"/>
      <x:name val="Arial"/>
    </x:font>
    <x:font>
      <x:b/>
      <x:sz val="11"/>
      <x:color rgb="FF0000FF"/>
      <x:name val="Arial"/>
    </x:font>
    <x:font>
      <x:b/>
      <x:sz val="10"/>
      <x:color rgb="FF17365D"/>
      <x:name val="Arial"/>
    </x:font>
    <x:font>
      <x:sz val="10"/>
      <x:color rgb="FF0000FF"/>
      <x:name val="Arial"/>
    </x:font>
    <x:font>
      <x:b/>
      <x:sz val="10"/>
      <x:color rgb="FF548235"/>
      <x:name val="Arial"/>
    </x:font>
    <x:font>
      <x:i/>
      <x:sz val="10"/>
      <x:color rgb="FF1F1F1F"/>
      <x:name val="Arial"/>
    </x:font>
    <x:font>
      <x:b/>
      <x:sz val="10"/>
      <x:color rgb="FF1F1F1F"/>
      <x:name val="Arial"/>
    </x:font>
    <x:font>
      <x:b/>
      <x:sz val="11"/>
      <x:color rgb="FF548235"/>
      <x:name val="Arial"/>
    </x:font>
    <x:font>
      <x:b/>
      <x:sz val="14"/>
      <x:color rgb="FF17365D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EAF2F8"/>
      </x:patternFill>
    </x:fill>
  </x:fills>
  <x:borders count="8">
    <x:border/>
    <x:border>
      <x:bottom style="thin">
        <x:color rgb="FF2F75B5"/>
      </x:bottom>
    </x:border>
    <x:border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bottom style="thin">
        <x:color rgb="FF17365D"/>
      </x:bottom>
    </x:border>
    <x:border>
      <x:left style="thin">
        <x:color rgb="FFA9C4DD"/>
      </x:left>
      <x:top style="thin">
        <x:color rgb="FFA9C4DD"/>
      </x:top>
      <x:bottom style="thin">
        <x:color rgb="FFA9C4DD"/>
      </x:bottom>
    </x:border>
    <x:border>
      <x:top style="thin">
        <x:color rgb="FFA9C4DD"/>
      </x:top>
      <x:bottom style="thin">
        <x:color rgb="FFA9C4DD"/>
      </x:bottom>
    </x:border>
    <x:border>
      <x:right style="thin">
        <x:color rgb="FFA9C4DD"/>
      </x:right>
      <x:top style="thin">
        <x:color rgb="FFA9C4DD"/>
      </x:top>
      <x:bottom style="thin">
        <x:color rgb="FFA9C4DD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4" fillId="2" borderId="3" xfId="0" applyNumberFormat="1" applyFont="1" applyFill="1" applyBorder="1" applyAlignment="1">
      <x:alignment horizontal="center" vertical="center"/>
    </x:xf>
    <x:xf numFmtId="0" fontId="4" fillId="2" borderId="4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/>
    <x:xf numFmtId="200" fontId="0" fillId="0" borderId="0" xfId="0" applyNumberFormat="1" applyFont="1" applyFill="1" applyBorder="1"/>
    <x:xf numFmtId="201" fontId="1" fillId="0" borderId="0" xfId="0" applyNumberFormat="1" applyFont="1" applyFill="1" applyBorder="1"/>
    <x:xf numFmtId="201" fontId="0" fillId="0" borderId="0" xfId="0" applyNumberFormat="1" applyFont="1" applyFill="1" applyBorder="1"/>
    <x:xf numFmtId="0" fontId="1" fillId="3" borderId="0" xfId="0" applyNumberFormat="1" applyFont="1" applyFill="1" applyBorder="1"/>
    <x:xf numFmtId="0" fontId="5" fillId="3" borderId="0" xfId="0" applyNumberFormat="1" applyFont="1" applyFill="1" applyBorder="1"/>
    <x:xf numFmtId="0" fontId="1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5" xfId="0" applyNumberFormat="1" applyFont="1" applyFill="1" applyBorder="1"/>
    <x:xf numFmtId="0" fontId="6" fillId="4" borderId="6" xfId="0" applyNumberFormat="1" applyFont="1" applyFill="1" applyBorder="1"/>
    <x:xf numFmtId="0" fontId="6" fillId="4" borderId="7" xfId="0" applyNumberFormat="1" applyFont="1" applyFill="1" applyBorder="1"/>
    <x:xf numFmtId="202" fontId="1" fillId="0" borderId="0" xfId="0" applyNumberFormat="1" applyFont="1" applyFill="1" applyBorder="1"/>
    <x:xf numFmtId="202" fontId="1" fillId="3" borderId="0" xfId="0" applyNumberFormat="1" applyFont="1" applyFill="1" applyBorder="1"/>
    <x:xf numFmtId="202" fontId="7" fillId="3" borderId="0" xfId="0" applyNumberFormat="1" applyFont="1" applyFill="1" applyBorder="1"/>
    <x:xf numFmtId="0" fontId="8" fillId="0" borderId="0" xfId="0" applyNumberFormat="1" applyFont="1" applyFill="1" applyBorder="1"/>
    <x:xf numFmtId="202" fontId="8" fillId="0" borderId="0" xfId="0" applyNumberFormat="1" applyFont="1" applyFill="1" applyBorder="1"/>
    <x:xf numFmtId="203" fontId="1" fillId="0" borderId="0" xfId="0" applyNumberFormat="1" applyFont="1" applyFill="1" applyBorder="1"/>
    <x:xf numFmtId="203" fontId="1" fillId="3" borderId="0" xfId="0" applyNumberFormat="1" applyFont="1" applyFill="1" applyBorder="1"/>
    <x:xf numFmtId="203" fontId="7" fillId="3" borderId="0" xfId="0" applyNumberFormat="1" applyFont="1" applyFill="1" applyBorder="1"/>
    <x:xf numFmtId="203" fontId="8" fillId="0" borderId="0" xfId="0" applyNumberFormat="1" applyFont="1" applyFill="1" applyBorder="1"/>
    <x:xf numFmtId="0" fontId="7" fillId="3" borderId="0" xfId="0" applyNumberFormat="1" applyFont="1" applyFill="1" applyBorder="1"/>
    <x:xf numFmtId="201" fontId="7" fillId="3" borderId="0" xfId="0" applyNumberFormat="1" applyFont="1" applyFill="1" applyBorder="1"/>
    <x:xf numFmtId="201" fontId="6" fillId="4" borderId="6" xfId="0" applyNumberFormat="1" applyFont="1" applyFill="1" applyBorder="1"/>
    <x:xf numFmtId="201" fontId="6" fillId="4" borderId="7" xfId="0" applyNumberFormat="1" applyFont="1" applyFill="1" applyBorder="1"/>
    <x:xf numFmtId="0" fontId="9" fillId="0" borderId="0" xfId="0" applyNumberFormat="1" applyFont="1" applyFill="1" applyBorder="1"/>
    <x:xf numFmtId="202" fontId="9" fillId="0" borderId="0" xfId="0" applyNumberFormat="1" applyFont="1" applyFill="1" applyBorder="1"/>
    <x:xf numFmtId="203" fontId="9" fillId="0" borderId="0" xfId="0" applyNumberFormat="1" applyFont="1" applyFill="1" applyBorder="1"/>
    <x:xf numFmtId="0" fontId="10" fillId="0" borderId="0" xfId="0" applyNumberFormat="1" applyFont="1" applyFill="1" applyBorder="1"/>
    <x:xf numFmtId="201" fontId="10" fillId="0" borderId="0" xfId="0" applyNumberFormat="1" applyFont="1" applyFill="1" applyBorder="1"/>
    <x:xf numFmtId="0" fontId="4" fillId="5" borderId="3" xfId="0" applyNumberFormat="1" applyFont="1" applyFill="1" applyBorder="1" applyAlignment="1">
      <x:alignment horizontal="center" vertical="center"/>
    </x:xf>
    <x:xf numFmtId="0" fontId="4" fillId="5" borderId="4" xfId="0" applyNumberFormat="1" applyFont="1" applyFill="1" applyBorder="1" applyAlignment="1">
      <x:alignment horizontal="center" vertical="center"/>
    </x:xf>
    <x:xf numFmtId="0" fontId="1" fillId="5" borderId="0" xfId="0" applyNumberFormat="1" applyFont="1" applyFill="1" applyBorder="1"/>
    <x:xf numFmtId="0" fontId="6" fillId="5" borderId="6" xfId="0" applyNumberFormat="1" applyFont="1" applyFill="1" applyBorder="1"/>
    <x:xf numFmtId="0" fontId="6" fillId="5" borderId="7" xfId="0" applyNumberFormat="1" applyFont="1" applyFill="1" applyBorder="1"/>
    <x:xf numFmtId="201" fontId="1" fillId="5" borderId="0" xfId="0" applyNumberFormat="1" applyFont="1" applyFill="1" applyBorder="1"/>
    <x:xf numFmtId="202" fontId="9" fillId="5" borderId="0" xfId="0" applyNumberFormat="1" applyFont="1" applyFill="1" applyBorder="1"/>
    <x:xf numFmtId="201" fontId="10" fillId="5" borderId="0" xfId="0" applyNumberFormat="1" applyFont="1" applyFill="1" applyBorder="1"/>
    <x:xf numFmtId="201" fontId="6" fillId="5" borderId="6" xfId="0" applyNumberFormat="1" applyFont="1" applyFill="1" applyBorder="1"/>
    <x:xf numFmtId="201" fontId="6" fillId="5" borderId="7" xfId="0" applyNumberFormat="1" applyFont="1" applyFill="1" applyBorder="1"/>
    <x:xf numFmtId="203" fontId="9" fillId="5" borderId="0" xfId="0" applyNumberFormat="1" applyFont="1" applyFill="1" applyBorder="1"/>
    <x:xf numFmtId="204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201" fontId="1" fillId="2" borderId="0" xfId="0" applyNumberFormat="1" applyFont="1" applyFill="1" applyBorder="1"/>
    <x:xf numFmtId="201" fontId="4" fillId="2" borderId="0" xfId="0" applyNumberFormat="1" applyFont="1" applyFill="1" applyBorder="1"/>
    <x:xf numFmtId="201" fontId="4" fillId="2" borderId="0" xfId="0" applyNumberFormat="1" applyFont="1" applyFill="1" applyBorder="1" applyAlignment="1">
      <x:alignment horizontal="center"/>
    </x:xf>
    <x:xf numFmtId="201" fontId="4" fillId="2" borderId="0" xfId="0" applyNumberFormat="1" applyFont="1" applyFill="1" applyBorder="1" applyAlignment="1">
      <x:alignment horizontal="center" vertical="center"/>
    </x:xf>
    <x:xf numFmtId="201" fontId="4" fillId="2" borderId="3" xfId="0" applyNumberFormat="1" applyFont="1" applyFill="1" applyBorder="1" applyAlignment="1">
      <x:alignment horizontal="center" vertical="center"/>
    </x:xf>
    <x:xf numFmtId="201" fontId="4" fillId="2" borderId="4" xfId="0" applyNumberFormat="1" applyFont="1" applyFill="1" applyBorder="1" applyAlignment="1">
      <x:alignment horizontal="center" vertical="center"/>
    </x:xf>
    <x:xf numFmtId="201" fontId="1" fillId="0" borderId="0" xfId="0" applyNumberFormat="1" applyFont="1" applyFill="1" applyBorder="1" applyAlignment="1">
      <x:alignment wrapText="1"/>
    </x:xf>
    <x:xf numFmtId="201" fontId="1" fillId="5" borderId="0" xfId="0" applyNumberFormat="1" applyFont="1" applyFill="1" applyBorder="1" applyAlignment="1">
      <x:alignment wrapText="1"/>
    </x:xf>
    <x:xf numFmtId="202" fontId="4" fillId="2" borderId="3" xfId="0" applyNumberFormat="1" applyFont="1" applyFill="1" applyBorder="1" applyAlignment="1">
      <x:alignment horizontal="center" vertical="center"/>
    </x:xf>
    <x:xf numFmtId="202" fontId="4" fillId="2" borderId="4" xfId="0" applyNumberFormat="1" applyFont="1" applyFill="1" applyBorder="1" applyAlignment="1">
      <x:alignment horizontal="center" vertical="center"/>
    </x:xf>
    <x:xf numFmtId="0" fontId="11" fillId="0" borderId="0" xfId="0" applyNumberFormat="1" applyFont="1" applyFill="1" applyBorder="1"/>
    <x:xf numFmtId="201" fontId="12" fillId="0" borderId="0" xfId="0" applyNumberFormat="1" applyFont="1" applyFill="1" applyBorder="1"/>
    <x:xf numFmtId="202" fontId="12" fillId="0" borderId="0" xfId="0" applyNumberFormat="1" applyFont="1" applyFill="1" applyBorder="1"/>
    <x:xf numFmtId="203" fontId="12" fillId="0" borderId="0" xfId="0" applyNumberFormat="1" applyFont="1" applyFill="1" applyBorder="1"/>
    <x:xf numFmtId="0" fontId="6" fillId="0" borderId="0" xfId="0" applyNumberFormat="1" applyFont="1" applyFill="1" applyBorder="1" applyAlignment="1">
      <x:alignment vertical="top" wrapText="1"/>
    </x:xf>
    <x:xf numFmtId="205" fontId="1" fillId="0" borderId="0" xfId="0" applyNumberFormat="1" applyFont="1" applyFill="1" applyBorder="1"/>
  </x:cellXfs>
  <x:cellStyles count="1">
    <x:cellStyle name="Normal" xfId="0"/>
  </x:cellStyles>
  <x:dxfs count="2"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1342c0f35a4825" /><Relationship Type="http://schemas.openxmlformats.org/officeDocument/2006/relationships/theme" Target="/xl/theme/theme1.xml" Id="R0c3ddf06184a441b" /><Relationship Type="http://schemas.openxmlformats.org/officeDocument/2006/relationships/sharedStrings" Target="/xl/sharedStrings.xml" Id="R44acdb39e5544c05" /><Relationship Type="http://schemas.openxmlformats.org/officeDocument/2006/relationships/worksheet" Target="/xl/worksheets/sheet1.xml" Id="R6e3069425a0d48f8" /><Relationship Type="http://schemas.openxmlformats.org/officeDocument/2006/relationships/worksheet" Target="/xl/worksheets/sheet2.xml" Id="R747b90d33bae4a39" /><Relationship Type="http://schemas.openxmlformats.org/officeDocument/2006/relationships/worksheet" Target="/xl/worksheets/sheet3.xml" Id="R7b1112987ff24ea7" /><Relationship Type="http://schemas.openxmlformats.org/officeDocument/2006/relationships/worksheet" Target="/xl/worksheets/sheet4.xml" Id="Rba3819da105047d7" /><Relationship Type="http://schemas.openxmlformats.org/officeDocument/2006/relationships/worksheet" Target="/xl/worksheets/sheet5.xml" Id="R06ef795adc914056" /><Relationship Type="http://schemas.openxmlformats.org/officeDocument/2006/relationships/worksheet" Target="/xl/worksheets/sheet6.xml" Id="Rfb9d73ee3c3f49b5" /><Relationship Type="http://schemas.openxmlformats.org/officeDocument/2006/relationships/worksheet" Target="/xl/worksheets/sheet7.xml" Id="R4a8cd8e8a66643ba" /><Relationship Type="http://schemas.openxmlformats.org/officeDocument/2006/relationships/worksheet" Target="/xl/worksheets/sheet8.xml" Id="R894a8918d2054c52" /><Relationship Type="http://schemas.openxmlformats.org/officeDocument/2006/relationships/worksheet" Target="/xl/worksheets/sheet9.xml" Id="R8cc2b01ef78a426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d881dc2de9d421c" /><Relationship Type="http://schemas.openxmlformats.org/officeDocument/2006/relationships/chart" Target="/xl/drawings/charts/chart2.xml" Id="R2328901565f3464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Revenue and Operating Income Trend ($M)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Revenue</c:v>
          </c:tx>
          <c:spPr>
            <a:ln xmlns:a="http://schemas.openxmlformats.org/drawingml/2006/main" w="19050">
              <a:solidFill>
                <a:srgbClr val="2F75B5"/>
              </a:solidFill>
              <a:prstDash val="solid"/>
            </a:ln>
          </c:spPr>
          <c:marker>
            <c:symbol val="none"/>
          </c:marker>
          <c:cat>
            <c:strRef>
              <c:f>'Dashboard'!$Q$21:$Q$28</c:f>
              <c:strCache>
                <c:ptCount val="0"/>
              </c:strCache>
            </c:strRef>
          </c:cat>
          <c:val>
            <c:numRef>
              <c:f>'Dashboard'!$R$21:$R$28</c:f>
              <c:numCache>
                <c:formatCode>$#,##0;[Red]($#,##0);-</c:formatCode>
                <c:ptCount val="0"/>
              </c:numCache>
            </c:numRef>
          </c:val>
          <c:smooth val="0"/>
        </c:ser>
        <c:ser>
          <c:idx val="1"/>
          <c:order val="1"/>
          <c:tx>
            <c:v>Operating Income</c:v>
          </c:tx>
          <c:spPr>
            <a:ln xmlns:a="http://schemas.openxmlformats.org/drawingml/2006/main" w="19050">
              <a:solidFill>
                <a:srgbClr val="548235"/>
              </a:solidFill>
              <a:prstDash val="solid"/>
            </a:ln>
          </c:spPr>
          <c:marker>
            <c:symbol val="none"/>
          </c:marker>
          <c:cat>
            <c:strRef>
              <c:f>'Dashboard'!$Q$21:$Q$28</c:f>
              <c:strCache>
                <c:ptCount val="0"/>
              </c:strCache>
            </c:strRef>
          </c:cat>
          <c:val>
            <c:numRef>
              <c:f>'Dashboard'!$S$21:$S$28</c:f>
              <c:numCache>
                <c:formatCode>$#,##0;[Red]($#,##0);-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0,&quot;B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Margin and Cash Conversion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Operating Margin</c:v>
          </c:tx>
          <c:marker>
            <c:symbol val="none"/>
          </c:marker>
          <c:cat>
            <c:strRef>
              <c:f>'Dashboard'!$M$21:$M$28</c:f>
              <c:strCache>
                <c:ptCount val="0"/>
              </c:strCache>
            </c:strRef>
          </c:cat>
          <c:val>
            <c:numRef>
              <c:f>'Dashboard'!$N$21:$N$28</c:f>
              <c:numCache>
                <c:formatCode>0.0%;[Red](0.0%);-</c:formatCode>
                <c:ptCount val="0"/>
              </c:numCache>
            </c:numRef>
          </c:val>
          <c:smooth val="0"/>
        </c:ser>
        <c:ser>
          <c:idx val="1"/>
          <c:order val="1"/>
          <c:tx>
            <c:v>CFO / Net Income</c:v>
          </c:tx>
          <c:marker>
            <c:symbol val="none"/>
          </c:marker>
          <c:cat>
            <c:strRef>
              <c:f>'Dashboard'!$M$21:$M$28</c:f>
              <c:strCache>
                <c:ptCount val="0"/>
              </c:strCache>
            </c:strRef>
          </c:cat>
          <c:val>
            <c:numRef>
              <c:f>'Dashboard'!$O$21:$O$28</c:f>
              <c:numCache>
                <c:formatCode>0.00x;[Red](0.00x);-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x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2</xdr:col>
      <xdr:colOff>0</xdr:colOff>
      <xdr:row>25</xdr:row>
      <xdr:rowOff>0</xdr:rowOff>
    </xdr:from>
    <xdr:to>
      <xdr:col>9</xdr:col>
      <xdr:colOff>0</xdr:colOff>
      <xdr:row>42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d881dc2de9d421c"/>
        </a:graphicData>
      </a:graphic>
    </xdr:graphicFrame>
    <xdr:clientData/>
  </xdr:twoCellAnchor>
  <xdr:twoCellAnchor>
    <xdr:from>
      <xdr:col>9</xdr:col>
      <xdr:colOff>0</xdr:colOff>
      <xdr:row>25</xdr:row>
      <xdr:rowOff>0</xdr:rowOff>
    </xdr:from>
    <xdr:to>
      <xdr:col>16</xdr:col>
      <xdr:colOff>0</xdr:colOff>
      <xdr:row>42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328901565f3464c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16fd230bca748d5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3" hidden="0" customWidth="1"/>
    <x:col min="2" max="2" width="3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19" hidden="0" customWidth="1"/>
    <x:col min="8" max="8" width="19" hidden="0" customWidth="1"/>
    <x:col min="9" max="9" width="19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1"/>
      <x:c r="B2" s="1"/>
      <x:c r="C2" s="2" t="str">
        <x:v>Home Depot financial performance</x:v>
      </x:c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1"/>
      <x:c r="B3" s="1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1"/>
      <x:c r="B4" s="1"/>
      <x:c r="C4" s="4" t="str">
        <x:v>Fiscal 2021-2025 actuals with a three-year scenario outlook. USD millions unless noted.</x:v>
      </x:c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1"/>
      <x:c r="B6" s="1"/>
      <x:c r="C6" s="1" t="str">
        <x:v>Case Selected:</x:v>
      </x:c>
      <x:c r="D6" s="65" t="str">
        <x:f>'Statements'!D6</x:f>
        <x:v>Base</x:v>
      </x:c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1"/>
      <x:c r="B8" s="1"/>
      <x:c r="C8" s="9" t="str">
        <x:v>FY2025 Revenue</x:v>
      </x:c>
      <x:c r="D8" s="10" t="str">
        <x:v>FY2025 Operating Margin</x:v>
      </x:c>
      <x:c r="E8" s="11" t="str">
        <x:v>FY2025 CFO / Net Income</x:v>
      </x:c>
      <x:c r="F8" s="1"/>
      <x:c r="G8" s="9" t="str">
        <x:v>FY2025 Current Ratio</x:v>
      </x:c>
      <x:c r="H8" s="10" t="str">
        <x:v>FY2025 ROIC</x:v>
      </x:c>
      <x:c r="I8" s="11" t="str">
        <x:v>FY2025 Free Cash Flow</x:v>
      </x:c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1"/>
      <x:c r="B9" s="1"/>
      <x:c r="C9" s="66" t="n">
        <x:f>'Statements'!H9</x:f>
        <x:v>164683</x:v>
      </x:c>
      <x:c r="D9" s="67" t="n">
        <x:f>'Statements'!H19</x:f>
        <x:v>0.12684976591390731</x:v>
      </x:c>
      <x:c r="E9" s="68" t="n">
        <x:f>'Statements'!H30</x:f>
        <x:v>1.1532212489403786</x:v>
      </x:c>
      <x:c r="F9" s="1"/>
      <x:c r="G9" s="68" t="n">
        <x:f>'Ratios &amp; WC'!H12</x:f>
        <x:v>1.06066493955095</x:v>
      </x:c>
      <x:c r="H9" s="67" t="n">
        <x:f>'Advanced Analysis'!H12</x:f>
        <x:v>0.2632414802831874</x:v>
      </x:c>
      <x:c r="I9" s="66" t="n">
        <x:f>'Statements'!H32</x:f>
        <x:v>12646</x:v>
      </x:c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1"/>
      <x:c r="B12" s="1"/>
      <x:c r="C12" s="9" t="str">
        <x:v>Executive view</x:v>
      </x:c>
      <x:c r="D12" s="10" t="str">
        <x:v>Evidence</x:v>
      </x:c>
      <x:c r="E12" s="10" t="str">
        <x:v>Assessment</x:v>
      </x:c>
      <x:c r="F12" s="11" t="str">
        <x:v>Action</x:v>
      </x:c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 ht="42" customHeight="1">
      <x:c r="A13" s="1"/>
      <x:c r="B13" s="1"/>
      <x:c r="C13" s="69" t="str">
        <x:v>Growth</x:v>
      </x:c>
      <x:c r="D13" s="54" t="str">
        <x:v>Revenue reached $164.7B in FY2025</x:v>
      </x:c>
      <x:c r="E13" s="54" t="str">
        <x:v>Acquisitions offset soft organic demand</x:v>
      </x:c>
      <x:c r="F13" s="54" t="str">
        <x:v>Separate acquired growth from same-store recovery</x:v>
      </x:c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 ht="42" customHeight="1">
      <x:c r="A14" s="1"/>
      <x:c r="B14" s="1"/>
      <x:c r="C14" s="69" t="str">
        <x:v>Profitability</x:v>
      </x:c>
      <x:c r="D14" s="54" t="str">
        <x:v>Operating margin fell from 15.2% to 12.7% since FY2021</x:v>
      </x:c>
      <x:c r="E14" s="54" t="str">
        <x:v>SG&amp;A and mix diluted operating leverage</x:v>
      </x:c>
      <x:c r="F14" s="54" t="str">
        <x:v>Prioritize integration savings and gross-margin discipline</x:v>
      </x:c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 ht="42" customHeight="1">
      <x:c r="A15" s="1"/>
      <x:c r="B15" s="1"/>
      <x:c r="C15" s="69" t="str">
        <x:v>Cash flow</x:v>
      </x:c>
      <x:c r="D15" s="54" t="str">
        <x:v>CFO exceeded net income in four of five years</x:v>
      </x:c>
      <x:c r="E15" s="54" t="str">
        <x:v>Cash generation remains solid but weakened in FY2025</x:v>
      </x:c>
      <x:c r="F15" s="54" t="str">
        <x:v>Track inventory and payables against demand</x:v>
      </x:c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 ht="42" customHeight="1">
      <x:c r="A16" s="1"/>
      <x:c r="B16" s="1"/>
      <x:c r="C16" s="69" t="str">
        <x:v>Liquidity</x:v>
      </x:c>
      <x:c r="D16" s="54" t="str">
        <x:v>Current ratio remained near 1.0x</x:v>
      </x:c>
      <x:c r="E16" s="54" t="str">
        <x:v>Adequate but limited short-term cushion</x:v>
      </x:c>
      <x:c r="F16" s="54" t="str">
        <x:v>Protect cash conversion during slower demand</x:v>
      </x:c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 ht="42" customHeight="1">
      <x:c r="A17" s="1"/>
      <x:c r="B17" s="1"/>
      <x:c r="C17" s="69" t="str">
        <x:v>Recommendation</x:v>
      </x:c>
      <x:c r="D17" s="54" t="str">
        <x:v>Base case supports stable cash generation</x:v>
      </x:c>
      <x:c r="E17" s="54" t="str">
        <x:v>Hold / monitor execution</x:v>
      </x:c>
      <x:c r="F17" s="54" t="str">
        <x:v>Reassess if margins stabilize above 13% or demand weakens</x:v>
      </x:c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"/>
      <x:c r="B20" s="1"/>
      <x:c r="C20" s="9" t="str">
        <x:v>Fiscal Year</x:v>
      </x:c>
      <x:c r="D20" s="10" t="n">
        <x:v>2021</x:v>
      </x:c>
      <x:c r="E20" s="10" t="n">
        <x:v>2022</x:v>
      </x:c>
      <x:c r="F20" s="10" t="n">
        <x:v>2023</x:v>
      </x:c>
      <x:c r="G20" s="10" t="n">
        <x:v>2024</x:v>
      </x:c>
      <x:c r="H20" s="10" t="n">
        <x:v>2025</x:v>
      </x:c>
      <x:c r="I20" s="10" t="n">
        <x:v>2026</x:v>
      </x:c>
      <x:c r="J20" s="10" t="n">
        <x:v>2027</x:v>
      </x:c>
      <x:c r="K20" s="11" t="n">
        <x:v>2028</x:v>
      </x:c>
      <x:c r="L20" s="1"/>
      <x:c r="M20" s="1" t="str">
        <x:v>Fiscal Year</x:v>
      </x:c>
      <x:c r="N20" s="1" t="str">
        <x:v>Operating Margin</x:v>
      </x:c>
      <x:c r="O20" s="1" t="str">
        <x:v>CFO / Net Income</x:v>
      </x:c>
      <x:c r="P20" s="1"/>
      <x:c r="Q20" s="1" t="str">
        <x:v>Fiscal Year</x:v>
      </x:c>
      <x:c r="R20" s="1" t="str">
        <x:v>Revenue</x:v>
      </x:c>
      <x:c r="S20" s="1" t="str">
        <x:v>Operating Income</x:v>
      </x:c>
      <x:c r="T20" s="1"/>
      <x:c r="U20" s="1"/>
      <x:c r="V20" s="1"/>
      <x:c r="W20" s="1"/>
      <x:c r="X20" s="1"/>
      <x:c r="Y20" s="1"/>
      <x:c r="Z20" s="1"/>
    </x:row>
    <x:row r="21">
      <x:c r="A21" s="1"/>
      <x:c r="B21" s="1"/>
      <x:c r="C21" s="1" t="str">
        <x:v>Revenue</x:v>
      </x:c>
      <x:c r="D21" s="14" t="n">
        <x:f>'Statements'!D9</x:f>
        <x:v>151157</x:v>
      </x:c>
      <x:c r="E21" s="14" t="n">
        <x:f>'Statements'!E9</x:f>
        <x:v>157403</x:v>
      </x:c>
      <x:c r="F21" s="14" t="n">
        <x:f>'Statements'!F9</x:f>
        <x:v>152669</x:v>
      </x:c>
      <x:c r="G21" s="14" t="n">
        <x:f>'Statements'!G9</x:f>
        <x:v>159514</x:v>
      </x:c>
      <x:c r="H21" s="14" t="n">
        <x:f>'Statements'!H9</x:f>
        <x:v>164683</x:v>
      </x:c>
      <x:c r="I21" s="14" t="n">
        <x:f>'Statements'!I9</x:f>
        <x:v>168800.07499999998</x:v>
      </x:c>
      <x:c r="J21" s="14" t="n">
        <x:f>'Statements'!J9</x:f>
        <x:v>173864.07724999997</x:v>
      </x:c>
      <x:c r="K21" s="14" t="n">
        <x:f>'Statements'!K9</x:f>
        <x:v>179949.31995374995</x:v>
      </x:c>
      <x:c r="L21" s="1"/>
      <x:c r="M21" s="1" t="n">
        <x:f>D20</x:f>
        <x:v>2021</x:v>
      </x:c>
      <x:c r="N21" s="23" t="n">
        <x:f>D23</x:f>
        <x:v>0.15242430056166767</x:v>
      </x:c>
      <x:c r="O21" s="28" t="n">
        <x:f>D24</x:f>
        <x:v>1.0083977362623988</x:v>
      </x:c>
      <x:c r="P21" s="1"/>
      <x:c r="Q21" s="1" t="n">
        <x:f>D20</x:f>
        <x:v>2021</x:v>
      </x:c>
      <x:c r="R21" s="14" t="n">
        <x:f>D21</x:f>
        <x:v>151157</x:v>
      </x:c>
      <x:c r="S21" s="14" t="n">
        <x:f>D22</x:f>
        <x:v>23040</x:v>
      </x:c>
      <x:c r="T21" s="1"/>
      <x:c r="U21" s="1"/>
      <x:c r="V21" s="1"/>
      <x:c r="W21" s="1"/>
      <x:c r="X21" s="1"/>
      <x:c r="Y21" s="1"/>
      <x:c r="Z21" s="1"/>
    </x:row>
    <x:row r="22">
      <x:c r="A22" s="1"/>
      <x:c r="B22" s="1"/>
      <x:c r="C22" s="1" t="str">
        <x:v>Operating Income</x:v>
      </x:c>
      <x:c r="D22" s="14" t="n">
        <x:f>'Statements'!D18</x:f>
        <x:v>23040</x:v>
      </x:c>
      <x:c r="E22" s="14" t="n">
        <x:f>'Statements'!E18</x:f>
        <x:v>24039</x:v>
      </x:c>
      <x:c r="F22" s="14" t="n">
        <x:f>'Statements'!F18</x:f>
        <x:v>21689</x:v>
      </x:c>
      <x:c r="G22" s="14" t="n">
        <x:f>'Statements'!G18</x:f>
        <x:v>21526</x:v>
      </x:c>
      <x:c r="H22" s="14" t="n">
        <x:f>'Statements'!H18</x:f>
        <x:v>20890</x:v>
      </x:c>
      <x:c r="I22" s="14" t="n">
        <x:f>'Statements'!I18</x:f>
        <x:v>21606.4096</x:v>
      </x:c>
      <x:c r="J22" s="14" t="n">
        <x:f>'Statements'!J18</x:f>
        <x:v>22602.330042499998</x:v>
      </x:c>
      <x:c r="K22" s="14" t="n">
        <x:f>'Statements'!K18</x:f>
        <x:v>23753.310233894994</x:v>
      </x:c>
      <x:c r="L22" s="1"/>
      <x:c r="M22" s="1" t="n">
        <x:f>E20</x:f>
        <x:v>2022</x:v>
      </x:c>
      <x:c r="N22" s="23" t="n">
        <x:f>E23</x:f>
        <x:v>0.15272262917479337</x:v>
      </x:c>
      <x:c r="O22" s="28" t="n">
        <x:f>E24</x:f>
        <x:v>0.8544285296696872</x:v>
      </x:c>
      <x:c r="P22" s="1"/>
      <x:c r="Q22" s="1" t="n">
        <x:f>E20</x:f>
        <x:v>2022</x:v>
      </x:c>
      <x:c r="R22" s="14" t="n">
        <x:f>E21</x:f>
        <x:v>157403</x:v>
      </x:c>
      <x:c r="S22" s="14" t="n">
        <x:f>E22</x:f>
        <x:v>24039</x:v>
      </x:c>
      <x:c r="T22" s="1"/>
      <x:c r="U22" s="1"/>
      <x:c r="V22" s="1"/>
      <x:c r="W22" s="1"/>
      <x:c r="X22" s="1"/>
      <x:c r="Y22" s="1"/>
      <x:c r="Z22" s="1"/>
    </x:row>
    <x:row r="23">
      <x:c r="A23" s="1"/>
      <x:c r="B23" s="1"/>
      <x:c r="C23" s="1" t="str">
        <x:v>Operating Margin</x:v>
      </x:c>
      <x:c r="D23" s="23" t="n">
        <x:f>'Statements'!D19</x:f>
        <x:v>0.15242430056166767</x:v>
      </x:c>
      <x:c r="E23" s="23" t="n">
        <x:f>'Statements'!E19</x:f>
        <x:v>0.15272262917479337</x:v>
      </x:c>
      <x:c r="F23" s="23" t="n">
        <x:f>'Statements'!F19</x:f>
        <x:v>0.1420655142825328</x:v>
      </x:c>
      <x:c r="G23" s="23" t="n">
        <x:f>'Statements'!G19</x:f>
        <x:v>0.13494740273581002</x:v>
      </x:c>
      <x:c r="H23" s="23" t="n">
        <x:f>'Statements'!H19</x:f>
        <x:v>0.12684976591390731</x:v>
      </x:c>
      <x:c r="I23" s="23" t="n">
        <x:f>'Statements'!I19</x:f>
        <x:v>0.128</x:v>
      </x:c>
      <x:c r="J23" s="23" t="n">
        <x:f>'Statements'!J19</x:f>
        <x:v>0.13</x:v>
      </x:c>
      <x:c r="K23" s="23" t="n">
        <x:f>'Statements'!K19</x:f>
        <x:v>0.132</x:v>
      </x:c>
      <x:c r="L23" s="1"/>
      <x:c r="M23" s="1" t="n">
        <x:f>F20</x:f>
        <x:v>2023</x:v>
      </x:c>
      <x:c r="N23" s="23" t="n">
        <x:f>F23</x:f>
        <x:v>0.1420655142825328</x:v>
      </x:c>
      <x:c r="O23" s="28" t="n">
        <x:f>F24</x:f>
        <x:v>1.3981377534174206</x:v>
      </x:c>
      <x:c r="P23" s="1"/>
      <x:c r="Q23" s="1" t="n">
        <x:f>F20</x:f>
        <x:v>2023</x:v>
      </x:c>
      <x:c r="R23" s="14" t="n">
        <x:f>F21</x:f>
        <x:v>152669</x:v>
      </x:c>
      <x:c r="S23" s="14" t="n">
        <x:f>F22</x:f>
        <x:v>21689</x:v>
      </x:c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1" t="str">
        <x:v>CFO / Net Income</x:v>
      </x:c>
      <x:c r="D24" s="28" t="n">
        <x:f>'Statements'!D30</x:f>
        <x:v>1.0083977362623988</x:v>
      </x:c>
      <x:c r="E24" s="28" t="n">
        <x:f>'Statements'!E30</x:f>
        <x:v>0.8544285296696872</x:v>
      </x:c>
      <x:c r="F24" s="28" t="n">
        <x:f>'Statements'!F30</x:f>
        <x:v>1.3981377534174206</x:v>
      </x:c>
      <x:c r="G24" s="28" t="n">
        <x:f>'Statements'!G30</x:f>
        <x:v>1.3379710928002162</x:v>
      </x:c>
      <x:c r="H24" s="28" t="n">
        <x:f>'Statements'!H30</x:f>
        <x:v>1.1532212489403786</x:v>
      </x:c>
      <x:c r="I24" s="28" t="n">
        <x:f>'Statements'!I30</x:f>
        <x:v>1.12</x:v>
      </x:c>
      <x:c r="J24" s="28" t="n">
        <x:f>'Statements'!J30</x:f>
        <x:v>1.15</x:v>
      </x:c>
      <x:c r="K24" s="28" t="n">
        <x:f>'Statements'!K30</x:f>
        <x:v>1.17</x:v>
      </x:c>
      <x:c r="L24" s="1"/>
      <x:c r="M24" s="1" t="n">
        <x:f>G20</x:f>
        <x:v>2024</x:v>
      </x:c>
      <x:c r="N24" s="23" t="n">
        <x:f>G23</x:f>
        <x:v>0.13494740273581002</x:v>
      </x:c>
      <x:c r="O24" s="28" t="n">
        <x:f>G24</x:f>
        <x:v>1.3379710928002162</x:v>
      </x:c>
      <x:c r="P24" s="1"/>
      <x:c r="Q24" s="1" t="n">
        <x:f>G20</x:f>
        <x:v>2024</x:v>
      </x:c>
      <x:c r="R24" s="14" t="n">
        <x:f>G21</x:f>
        <x:v>159514</x:v>
      </x:c>
      <x:c r="S24" s="14" t="n">
        <x:f>G22</x:f>
        <x:v>21526</x:v>
      </x:c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 t="n">
        <x:f>H20</x:f>
        <x:v>2025</x:v>
      </x:c>
      <x:c r="N25" s="23" t="n">
        <x:f>H23</x:f>
        <x:v>0.12684976591390731</x:v>
      </x:c>
      <x:c r="O25" s="28" t="n">
        <x:f>H24</x:f>
        <x:v>1.1532212489403786</x:v>
      </x:c>
      <x:c r="P25" s="1"/>
      <x:c r="Q25" s="1" t="n">
        <x:f>H20</x:f>
        <x:v>2025</x:v>
      </x:c>
      <x:c r="R25" s="14" t="n">
        <x:f>H21</x:f>
        <x:v>164683</x:v>
      </x:c>
      <x:c r="S25" s="14" t="n">
        <x:f>H22</x:f>
        <x:v>20890</x:v>
      </x:c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 t="n">
        <x:f>I20</x:f>
        <x:v>2026</x:v>
      </x:c>
      <x:c r="N26" s="23" t="n">
        <x:f>I23</x:f>
        <x:v>0.128</x:v>
      </x:c>
      <x:c r="O26" s="28" t="n">
        <x:f>I24</x:f>
        <x:v>1.12</x:v>
      </x:c>
      <x:c r="P26" s="1"/>
      <x:c r="Q26" s="1" t="n">
        <x:f>I20</x:f>
        <x:v>2026</x:v>
      </x:c>
      <x:c r="R26" s="14" t="n">
        <x:f>I21</x:f>
        <x:v>168800.07499999998</x:v>
      </x:c>
      <x:c r="S26" s="14" t="n">
        <x:f>I22</x:f>
        <x:v>21606.4096</x:v>
      </x:c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 t="n">
        <x:f>J20</x:f>
        <x:v>2027</x:v>
      </x:c>
      <x:c r="N27" s="23" t="n">
        <x:f>J23</x:f>
        <x:v>0.13</x:v>
      </x:c>
      <x:c r="O27" s="28" t="n">
        <x:f>J24</x:f>
        <x:v>1.15</x:v>
      </x:c>
      <x:c r="P27" s="1"/>
      <x:c r="Q27" s="1" t="n">
        <x:f>J20</x:f>
        <x:v>2027</x:v>
      </x:c>
      <x:c r="R27" s="14" t="n">
        <x:f>J21</x:f>
        <x:v>173864.07724999997</x:v>
      </x:c>
      <x:c r="S27" s="14" t="n">
        <x:f>J22</x:f>
        <x:v>22602.330042499998</x:v>
      </x:c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 t="n">
        <x:f>K20</x:f>
        <x:v>2028</x:v>
      </x:c>
      <x:c r="N28" s="23" t="n">
        <x:f>K23</x:f>
        <x:v>0.132</x:v>
      </x:c>
      <x:c r="O28" s="28" t="n">
        <x:f>K24</x:f>
        <x:v>1.17</x:v>
      </x:c>
      <x:c r="P28" s="1"/>
      <x:c r="Q28" s="1" t="n">
        <x:f>K20</x:f>
        <x:v>2028</x:v>
      </x:c>
      <x:c r="R28" s="14" t="n">
        <x:f>K21</x:f>
        <x:v>179949.31995374995</x:v>
      </x:c>
      <x:c r="S28" s="14" t="n">
        <x:f>K22</x:f>
        <x:v>23753.310233894994</x:v>
      </x:c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</x:sheetData>
  <x:mergeCells>
    <x:mergeCell ref="C2:N2"/>
    <x:mergeCell ref="C4:N4"/>
  </x:mergeCells>
  <x:pageMargins left="0.7" right="0.7" top="0.75" bottom="0.75" header="0.3" footer="0.3"/>
  <x:drawing xmlns:r="http://schemas.openxmlformats.org/officeDocument/2006/relationships" r:id="R016fd230bca748d5"/>
</x:worksheet>
</file>

<file path=xl/worksheets/sheet2.xml><?xml version="1.0" encoding="utf-8"?>
<x:worksheet xmlns:x="http://schemas.openxmlformats.org/spreadsheetml/2006/main">
  <x:sheetPr>
    <x:tabColor rgb="FF2F75B5"/>
  </x:sheetPr>
  <x:sheetViews>
    <x:sheetView showGridLines="0" workbookViewId="0"/>
  </x:sheetViews>
  <x:sheetFormatPr defaultRowHeight="15"/>
  <x:cols>
    <x:col min="1" max="1" width="3" hidden="0" customWidth="1"/>
    <x:col min="2" max="2" width="3" hidden="0" customWidth="1"/>
    <x:col min="3" max="3" width="29" hidden="0" customWidth="1"/>
    <x:col min="4" max="4" width="15" hidden="0" customWidth="1"/>
    <x:col min="5" max="5" width="3" hidden="0" customWidth="1"/>
    <x:col min="6" max="6" width="13" hidden="0" customWidth="1"/>
    <x:col min="7" max="7" width="13" hidden="0" customWidth="1"/>
    <x:col min="8" max="8" width="13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1"/>
      <x:c r="B2" s="1"/>
      <x:c r="C2" s="2" t="str">
        <x:v>Forecast assumptions</x:v>
      </x:c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1"/>
      <x:c r="B3" s="1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1"/>
      <x:c r="B4" s="1"/>
      <x:c r="C4" s="4" t="str">
        <x:v>Select one case. Blue cells are editable inputs; green text is the active selection.</x:v>
      </x:c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1"/>
      <x:c r="B6" s="1"/>
      <x:c r="C6" s="1" t="str">
        <x:v>Case selector</x:v>
      </x:c>
      <x:c r="D6" s="17" t="n">
        <x:v>2</x:v>
      </x:c>
      <x:c r="E6" s="1"/>
      <x:c r="F6" s="9" t="n">
        <x:v>2026</x:v>
      </x:c>
      <x:c r="G6" s="10" t="n">
        <x:v>2027</x:v>
      </x:c>
      <x:c r="H6" s="11" t="n">
        <x:v>2028</x:v>
      </x:c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1"/>
      <x:c r="B7" s="1"/>
      <x:c r="C7" s="1" t="str">
        <x:v>1</x:v>
      </x:c>
      <x:c r="D7" s="1" t="str">
        <x:v>Downside</x:v>
      </x:c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1"/>
      <x:c r="B8" s="1"/>
      <x:c r="C8" s="1" t="str">
        <x:v>2</x:v>
      </x:c>
      <x:c r="D8" s="1" t="str">
        <x:v>Base</x:v>
      </x:c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1"/>
      <x:c r="B9" s="1"/>
      <x:c r="C9" s="1" t="str">
        <x:v>3</x:v>
      </x:c>
      <x:c r="D9" s="1" t="str">
        <x:v>Upside</x:v>
      </x:c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1"/>
      <x:c r="B11" s="1"/>
      <x:c r="C11" s="20" t="str">
        <x:v>Revenue Growth</x:v>
      </x:c>
      <x:c r="D11" s="21"/>
      <x:c r="E11" s="21"/>
      <x:c r="F11" s="21"/>
      <x:c r="G11" s="21"/>
      <x:c r="H11" s="22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1"/>
      <x:c r="B12" s="1"/>
      <x:c r="C12" s="26" t="str">
        <x:v>Active Selection</x:v>
      </x:c>
      <x:c r="D12" s="26"/>
      <x:c r="E12" s="26"/>
      <x:c r="F12" s="27" t="n">
        <x:f>CHOOSE($D$6,F13,F14,F15)</x:f>
        <x:v>0.025</x:v>
      </x:c>
      <x:c r="G12" s="27" t="n">
        <x:f>CHOOSE($D$6,G13,G14,G15)</x:f>
        <x:v>0.03</x:v>
      </x:c>
      <x:c r="H12" s="27" t="n">
        <x:f>CHOOSE($D$6,H13,H14,H15)</x:f>
        <x:v>0.035</x:v>
      </x:c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1"/>
      <x:c r="B13" s="1"/>
      <x:c r="C13" s="1" t="str">
        <x:v>Downside</x:v>
      </x:c>
      <x:c r="D13" s="1"/>
      <x:c r="E13" s="1"/>
      <x:c r="F13" s="25" t="n">
        <x:v>0</x:v>
      </x:c>
      <x:c r="G13" s="25" t="n">
        <x:v>0.01</x:v>
      </x:c>
      <x:c r="H13" s="25" t="n">
        <x:v>0.02</x:v>
      </x:c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1"/>
      <x:c r="B14" s="1"/>
      <x:c r="C14" s="1" t="str">
        <x:v>Base</x:v>
      </x:c>
      <x:c r="D14" s="1"/>
      <x:c r="E14" s="1"/>
      <x:c r="F14" s="25" t="n">
        <x:v>0.025</x:v>
      </x:c>
      <x:c r="G14" s="25" t="n">
        <x:v>0.03</x:v>
      </x:c>
      <x:c r="H14" s="25" t="n">
        <x:v>0.035</x:v>
      </x:c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1"/>
      <x:c r="B15" s="1"/>
      <x:c r="C15" s="1" t="str">
        <x:v>Upside</x:v>
      </x:c>
      <x:c r="D15" s="1"/>
      <x:c r="E15" s="1"/>
      <x:c r="F15" s="25" t="n">
        <x:v>0.05</x:v>
      </x:c>
      <x:c r="G15" s="25" t="n">
        <x:v>0.055</x:v>
      </x:c>
      <x:c r="H15" s="25" t="n">
        <x:v>0.05</x:v>
      </x:c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1"/>
      <x:c r="B17" s="1"/>
      <x:c r="C17" s="20" t="str">
        <x:v>Gross Margin</x:v>
      </x:c>
      <x:c r="D17" s="21"/>
      <x:c r="E17" s="21"/>
      <x:c r="F17" s="21"/>
      <x:c r="G17" s="21"/>
      <x:c r="H17" s="22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"/>
      <x:c r="B18" s="1"/>
      <x:c r="C18" s="26" t="str">
        <x:v>Active Selection</x:v>
      </x:c>
      <x:c r="D18" s="26"/>
      <x:c r="E18" s="26"/>
      <x:c r="F18" s="27" t="n">
        <x:f>CHOOSE($D$6,F19,F20,F21)</x:f>
        <x:v>0.334</x:v>
      </x:c>
      <x:c r="G18" s="27" t="n">
        <x:f>CHOOSE($D$6,G19,G20,G21)</x:f>
        <x:v>0.335</x:v>
      </x:c>
      <x:c r="H18" s="27" t="n">
        <x:f>CHOOSE($D$6,H19,H20,H21)</x:f>
        <x:v>0.336</x:v>
      </x:c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"/>
      <x:c r="B19" s="1"/>
      <x:c r="C19" s="1" t="str">
        <x:v>Downside</x:v>
      </x:c>
      <x:c r="D19" s="1"/>
      <x:c r="E19" s="1"/>
      <x:c r="F19" s="25" t="n">
        <x:v>0.33</x:v>
      </x:c>
      <x:c r="G19" s="25" t="n">
        <x:v>0.331</x:v>
      </x:c>
      <x:c r="H19" s="25" t="n">
        <x:v>0.332</x:v>
      </x:c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"/>
      <x:c r="B20" s="1"/>
      <x:c r="C20" s="1" t="str">
        <x:v>Base</x:v>
      </x:c>
      <x:c r="D20" s="1"/>
      <x:c r="E20" s="1"/>
      <x:c r="F20" s="25" t="n">
        <x:v>0.334</x:v>
      </x:c>
      <x:c r="G20" s="25" t="n">
        <x:v>0.335</x:v>
      </x:c>
      <x:c r="H20" s="25" t="n">
        <x:v>0.336</x:v>
      </x:c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"/>
      <x:c r="B21" s="1"/>
      <x:c r="C21" s="1" t="str">
        <x:v>Upside</x:v>
      </x:c>
      <x:c r="D21" s="1"/>
      <x:c r="E21" s="1"/>
      <x:c r="F21" s="25" t="n">
        <x:v>0.338</x:v>
      </x:c>
      <x:c r="G21" s="25" t="n">
        <x:v>0.34</x:v>
      </x:c>
      <x:c r="H21" s="25" t="n">
        <x:v>0.341</x:v>
      </x:c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/>
      <x:c r="B23" s="1"/>
      <x:c r="C23" s="20" t="str">
        <x:v>Operating Margin</x:v>
      </x:c>
      <x:c r="D23" s="21"/>
      <x:c r="E23" s="21"/>
      <x:c r="F23" s="21"/>
      <x:c r="G23" s="21"/>
      <x:c r="H23" s="22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26" t="str">
        <x:v>Active Selection</x:v>
      </x:c>
      <x:c r="D24" s="26"/>
      <x:c r="E24" s="26"/>
      <x:c r="F24" s="27" t="n">
        <x:f>CHOOSE($D$6,F25,F26,F27)</x:f>
        <x:v>0.128</x:v>
      </x:c>
      <x:c r="G24" s="27" t="n">
        <x:f>CHOOSE($D$6,G25,G26,G27)</x:f>
        <x:v>0.13</x:v>
      </x:c>
      <x:c r="H24" s="27" t="n">
        <x:f>CHOOSE($D$6,H25,H26,H27)</x:f>
        <x:v>0.132</x:v>
      </x:c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 t="str">
        <x:v>Downside</x:v>
      </x:c>
      <x:c r="D25" s="1"/>
      <x:c r="E25" s="1"/>
      <x:c r="F25" s="25" t="n">
        <x:v>0.12</x:v>
      </x:c>
      <x:c r="G25" s="25" t="n">
        <x:v>0.122</x:v>
      </x:c>
      <x:c r="H25" s="25" t="n">
        <x:v>0.124</x:v>
      </x:c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 t="str">
        <x:v>Base</x:v>
      </x:c>
      <x:c r="D26" s="1"/>
      <x:c r="E26" s="1"/>
      <x:c r="F26" s="25" t="n">
        <x:v>0.128</x:v>
      </x:c>
      <x:c r="G26" s="25" t="n">
        <x:v>0.13</x:v>
      </x:c>
      <x:c r="H26" s="25" t="n">
        <x:v>0.132</x:v>
      </x:c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 t="str">
        <x:v>Upside</x:v>
      </x:c>
      <x:c r="D27" s="1"/>
      <x:c r="E27" s="1"/>
      <x:c r="F27" s="25" t="n">
        <x:v>0.135</x:v>
      </x:c>
      <x:c r="G27" s="25" t="n">
        <x:v>0.139</x:v>
      </x:c>
      <x:c r="H27" s="25" t="n">
        <x:v>0.142</x:v>
      </x:c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20" t="str">
        <x:v>CFO / Net Income</x:v>
      </x:c>
      <x:c r="D29" s="21"/>
      <x:c r="E29" s="21"/>
      <x:c r="F29" s="21"/>
      <x:c r="G29" s="21"/>
      <x:c r="H29" s="22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26" t="str">
        <x:v>Active Selection</x:v>
      </x:c>
      <x:c r="D30" s="26"/>
      <x:c r="E30" s="26"/>
      <x:c r="F30" s="31" t="n">
        <x:f>CHOOSE($D$6,F31,F32,F33)</x:f>
        <x:v>1.12</x:v>
      </x:c>
      <x:c r="G30" s="31" t="n">
        <x:f>CHOOSE($D$6,G31,G32,G33)</x:f>
        <x:v>1.15</x:v>
      </x:c>
      <x:c r="H30" s="31" t="n">
        <x:f>CHOOSE($D$6,H31,H32,H33)</x:f>
        <x:v>1.17</x:v>
      </x:c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 t="str">
        <x:v>Downside</x:v>
      </x:c>
      <x:c r="D31" s="1"/>
      <x:c r="E31" s="1"/>
      <x:c r="F31" s="30" t="n">
        <x:v>1.05</x:v>
      </x:c>
      <x:c r="G31" s="30" t="n">
        <x:v>1.08</x:v>
      </x:c>
      <x:c r="H31" s="30" t="n">
        <x:v>1.1</x:v>
      </x:c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 t="str">
        <x:v>Base</x:v>
      </x:c>
      <x:c r="D32" s="1"/>
      <x:c r="E32" s="1"/>
      <x:c r="F32" s="30" t="n">
        <x:v>1.12</x:v>
      </x:c>
      <x:c r="G32" s="30" t="n">
        <x:v>1.15</x:v>
      </x:c>
      <x:c r="H32" s="30" t="n">
        <x:v>1.17</x:v>
      </x:c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 t="str">
        <x:v>Upside</x:v>
      </x:c>
      <x:c r="D33" s="1"/>
      <x:c r="E33" s="1"/>
      <x:c r="F33" s="30" t="n">
        <x:v>1.18</x:v>
      </x:c>
      <x:c r="G33" s="30" t="n">
        <x:v>1.2</x:v>
      </x:c>
      <x:c r="H33" s="30" t="n">
        <x:v>1.22</x:v>
      </x:c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20" t="str">
        <x:v>Capex / Revenue</x:v>
      </x:c>
      <x:c r="D35" s="21"/>
      <x:c r="E35" s="21"/>
      <x:c r="F35" s="21"/>
      <x:c r="G35" s="21"/>
      <x:c r="H35" s="22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26" t="str">
        <x:v>Active Selection</x:v>
      </x:c>
      <x:c r="D36" s="26"/>
      <x:c r="E36" s="26"/>
      <x:c r="F36" s="27" t="n">
        <x:f>CHOOSE($D$6,F37,F38,F39)</x:f>
        <x:v>0.023</x:v>
      </x:c>
      <x:c r="G36" s="27" t="n">
        <x:f>CHOOSE($D$6,G37,G38,G39)</x:f>
        <x:v>0.023</x:v>
      </x:c>
      <x:c r="H36" s="27" t="n">
        <x:f>CHOOSE($D$6,H37,H38,H39)</x:f>
        <x:v>0.023</x:v>
      </x:c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 t="str">
        <x:v>Downside</x:v>
      </x:c>
      <x:c r="D37" s="1"/>
      <x:c r="E37" s="1"/>
      <x:c r="F37" s="25" t="n">
        <x:v>0.025</x:v>
      </x:c>
      <x:c r="G37" s="25" t="n">
        <x:v>0.025</x:v>
      </x:c>
      <x:c r="H37" s="25" t="n">
        <x:v>0.025</x:v>
      </x:c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 t="str">
        <x:v>Base</x:v>
      </x:c>
      <x:c r="D38" s="1"/>
      <x:c r="E38" s="1"/>
      <x:c r="F38" s="25" t="n">
        <x:v>0.023</x:v>
      </x:c>
      <x:c r="G38" s="25" t="n">
        <x:v>0.023</x:v>
      </x:c>
      <x:c r="H38" s="25" t="n">
        <x:v>0.023</x:v>
      </x:c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 t="str">
        <x:v>Upside</x:v>
      </x:c>
      <x:c r="D39" s="1"/>
      <x:c r="E39" s="1"/>
      <x:c r="F39" s="25" t="n">
        <x:v>0.022</x:v>
      </x:c>
      <x:c r="G39" s="25" t="n">
        <x:v>0.022</x:v>
      </x:c>
      <x:c r="H39" s="25" t="n">
        <x:v>0.022</x:v>
      </x:c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9" t="str">
        <x:v>Other forecast inputs</x:v>
      </x:c>
      <x:c r="D41" s="10" t="str">
        <x:v>Value</x:v>
      </x:c>
      <x:c r="E41" s="10" t="str">
        <x:v>Basis</x:v>
      </x:c>
      <x:c r="F41" s="11" t="str">
        <x:v>Notes</x:v>
      </x:c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 t="str">
        <x:v>Interest Expense</x:v>
      </x:c>
      <x:c r="D42" s="33" t="n">
        <x:v>2412</x:v>
      </x:c>
      <x:c r="E42" s="1" t="str">
        <x:v>FY2025 actual</x:v>
      </x:c>
      <x:c r="F42" s="1" t="str">
        <x:v>Held flat</x:v>
      </x:c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 t="str">
        <x:v>Tax Rate</x:v>
      </x:c>
      <x:c r="D43" s="25" t="n">
        <x:v>0.239</x:v>
      </x:c>
      <x:c r="E43" s="1" t="str">
        <x:v>FY2025 effective rate</x:v>
      </x:c>
      <x:c r="F43" s="1" t="str">
        <x:v>Applied to pretax income</x:v>
      </x:c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 t="str">
        <x:v>D&amp;A / Revenue</x:v>
      </x:c>
      <x:c r="D44" s="25" t="n">
        <x:v>0.02</x:v>
      </x:c>
      <x:c r="E44" s="1" t="str">
        <x:v>Rounded FY2025</x:v>
      </x:c>
      <x:c r="F44" s="1" t="str">
        <x:v>Used to estimate operating expenses</x:v>
      </x:c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</x:sheetData>
  <x:mergeCells>
    <x:mergeCell ref="C2:N2"/>
    <x:mergeCell ref="C4:N4"/>
  </x:mergeCells>
  <x:dataValidations count="1">
    <x:dataValidation type="list" sqref="D6">
      <x:formula1>"1,2,3"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3" hidden="0" customWidth="1"/>
    <x:col min="2" max="2" width="3" hidden="0" customWidth="1"/>
    <x:col min="3" max="3" width="29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1"/>
      <x:c r="B2" s="1"/>
      <x:c r="C2" s="2" t="str">
        <x:v>Financial statement analysis</x:v>
      </x:c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1"/>
      <x:c r="B3" s="1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1"/>
      <x:c r="B4" s="1"/>
      <x:c r="C4" s="4" t="str">
        <x:v>Actuals through fiscal 2025; forecast updates with the selected case.</x:v>
      </x:c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1"/>
      <x:c r="B5" s="1"/>
      <x:c r="C5" s="9" t="str">
        <x:v>USD millions</x:v>
      </x:c>
      <x:c r="D5" s="10" t="n">
        <x:v>2021</x:v>
      </x:c>
      <x:c r="E5" s="10" t="n">
        <x:v>2022</x:v>
      </x:c>
      <x:c r="F5" s="10" t="n">
        <x:v>2023</x:v>
      </x:c>
      <x:c r="G5" s="10" t="n">
        <x:v>2024</x:v>
      </x:c>
      <x:c r="H5" s="10" t="n">
        <x:v>2025</x:v>
      </x:c>
      <x:c r="I5" s="41" t="n">
        <x:v>2026</x:v>
      </x:c>
      <x:c r="J5" s="41" t="n">
        <x:v>2027</x:v>
      </x:c>
      <x:c r="K5" s="42" t="n">
        <x:v>2028</x:v>
      </x:c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1"/>
      <x:c r="B6" s="1"/>
      <x:c r="C6" s="1" t="str">
        <x:v>Case Selected:</x:v>
      </x:c>
      <x:c r="D6" s="26" t="str">
        <x:f>CHOOSE('Assumptions'!$D$6,"Downside","Base","Upside")</x:f>
        <x:v>Base</x:v>
      </x:c>
      <x:c r="E6" s="1"/>
      <x:c r="F6" s="1"/>
      <x:c r="G6" s="1"/>
      <x:c r="H6" s="1"/>
      <x:c r="I6" s="43"/>
      <x:c r="J6" s="43"/>
      <x:c r="K6" s="43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1"/>
      <x:c r="B7" s="1"/>
      <x:c r="C7" s="1"/>
      <x:c r="D7" s="1"/>
      <x:c r="E7" s="1"/>
      <x:c r="F7" s="1"/>
      <x:c r="G7" s="1"/>
      <x:c r="H7" s="1"/>
      <x:c r="I7" s="43"/>
      <x:c r="J7" s="43"/>
      <x:c r="K7" s="43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1"/>
      <x:c r="B8" s="1"/>
      <x:c r="C8" s="20" t="str">
        <x:v>Income statement</x:v>
      </x:c>
      <x:c r="D8" s="21"/>
      <x:c r="E8" s="21"/>
      <x:c r="F8" s="21"/>
      <x:c r="G8" s="21"/>
      <x:c r="H8" s="21"/>
      <x:c r="I8" s="44"/>
      <x:c r="J8" s="44"/>
      <x:c r="K8" s="45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1"/>
      <x:c r="B9" s="1"/>
      <x:c r="C9" s="1" t="str">
        <x:v>Revenue</x:v>
      </x:c>
      <x:c r="D9" s="14" t="n">
        <x:f>'Data'!M6</x:f>
        <x:v>151157</x:v>
      </x:c>
      <x:c r="E9" s="14" t="n">
        <x:f>'Data'!N6</x:f>
        <x:v>157403</x:v>
      </x:c>
      <x:c r="F9" s="14" t="n">
        <x:f>'Data'!O6</x:f>
        <x:v>152669</x:v>
      </x:c>
      <x:c r="G9" s="14" t="n">
        <x:f>'Data'!P6</x:f>
        <x:v>159514</x:v>
      </x:c>
      <x:c r="H9" s="14" t="n">
        <x:f>'Data'!Q6</x:f>
        <x:v>164683</x:v>
      </x:c>
      <x:c r="I9" s="46" t="n">
        <x:f>H9*(1+I10)</x:f>
        <x:v>168800.07499999998</x:v>
      </x:c>
      <x:c r="J9" s="46" t="n">
        <x:f>I9*(1+J10)</x:f>
        <x:v>173864.07724999997</x:v>
      </x:c>
      <x:c r="K9" s="46" t="n">
        <x:f>J9*(1+K10)</x:f>
        <x:v>179949.31995374995</x:v>
      </x:c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1"/>
      <x:c r="B10" s="1"/>
      <x:c r="C10" s="36" t="str">
        <x:v>Revenue Growth</x:v>
      </x:c>
      <x:c r="D10" s="37" t="str">
        <x:f>""</x:f>
      </x:c>
      <x:c r="E10" s="37" t="n">
        <x:f>E9/D9-1</x:f>
        <x:v>0.04132127523038953</x:v>
      </x:c>
      <x:c r="F10" s="37" t="n">
        <x:f>F9/E9-1</x:f>
        <x:v>-0.030075665648049865</x:v>
      </x:c>
      <x:c r="G10" s="37" t="n">
        <x:f>G9/F9-1</x:f>
        <x:v>0.04483555928184502</x:v>
      </x:c>
      <x:c r="H10" s="37" t="n">
        <x:f>H9/G9-1</x:f>
        <x:v>0.032404679213109855</x:v>
      </x:c>
      <x:c r="I10" s="47" t="n">
        <x:f>'Assumptions'!F12</x:f>
        <x:v>0.025</x:v>
      </x:c>
      <x:c r="J10" s="47" t="n">
        <x:f>'Assumptions'!G12</x:f>
        <x:v>0.03</x:v>
      </x:c>
      <x:c r="K10" s="47" t="n">
        <x:f>'Assumptions'!H12</x:f>
        <x:v>0.035</x:v>
      </x:c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1"/>
      <x:c r="B11" s="1"/>
      <x:c r="C11" s="1" t="str">
        <x:v>Cost of Sales</x:v>
      </x:c>
      <x:c r="D11" s="14" t="n">
        <x:f>'Data'!M7</x:f>
        <x:v>100325</x:v>
      </x:c>
      <x:c r="E11" s="14" t="n">
        <x:f>'Data'!N7</x:f>
        <x:v>104625</x:v>
      </x:c>
      <x:c r="F11" s="14" t="n">
        <x:f>'Data'!O7</x:f>
        <x:v>101709</x:v>
      </x:c>
      <x:c r="G11" s="14" t="n">
        <x:f>'Data'!P7</x:f>
        <x:v>106206</x:v>
      </x:c>
      <x:c r="H11" s="14" t="n">
        <x:f>'Data'!Q7</x:f>
        <x:v>109818</x:v>
      </x:c>
      <x:c r="I11" s="46" t="n">
        <x:f>I9-I12</x:f>
        <x:v>112420.84994999997</x:v>
      </x:c>
      <x:c r="J11" s="46" t="n">
        <x:f>J9-J12</x:f>
        <x:v>115619.61137124998</x:v>
      </x:c>
      <x:c r="K11" s="46" t="n">
        <x:f>K9-K12</x:f>
        <x:v>119486.34844928996</x:v>
      </x:c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1"/>
      <x:c r="B12" s="1"/>
      <x:c r="C12" s="39" t="str">
        <x:v>Gross Profit</x:v>
      </x:c>
      <x:c r="D12" s="40" t="n">
        <x:f>'Data'!M8</x:f>
        <x:v>50832</x:v>
      </x:c>
      <x:c r="E12" s="40" t="n">
        <x:f>'Data'!N8</x:f>
        <x:v>52778</x:v>
      </x:c>
      <x:c r="F12" s="40" t="n">
        <x:f>'Data'!O8</x:f>
        <x:v>50960</x:v>
      </x:c>
      <x:c r="G12" s="40" t="n">
        <x:f>'Data'!P8</x:f>
        <x:v>53308</x:v>
      </x:c>
      <x:c r="H12" s="40" t="n">
        <x:f>'Data'!Q8</x:f>
        <x:v>54865</x:v>
      </x:c>
      <x:c r="I12" s="48" t="n">
        <x:f>I9*I13</x:f>
        <x:v>56379.22505</x:v>
      </x:c>
      <x:c r="J12" s="48" t="n">
        <x:f>J9*J13</x:f>
        <x:v>58244.465878749994</x:v>
      </x:c>
      <x:c r="K12" s="48" t="n">
        <x:f>K9*K13</x:f>
        <x:v>60462.97150445999</x:v>
      </x:c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1"/>
      <x:c r="B13" s="1"/>
      <x:c r="C13" s="36" t="str">
        <x:v>Gross Margin</x:v>
      </x:c>
      <x:c r="D13" s="37" t="n">
        <x:f>D12/D9</x:f>
        <x:v>0.3362861131141793</x:v>
      </x:c>
      <x:c r="E13" s="37" t="n">
        <x:f>E12/E9</x:f>
        <x:v>0.3353049179494673</x:v>
      </x:c>
      <x:c r="F13" s="37" t="n">
        <x:f>F12/F9</x:f>
        <x:v>0.33379402498215094</x:v>
      </x:c>
      <x:c r="G13" s="37" t="n">
        <x:f>G12/G9</x:f>
        <x:v>0.3341901024361498</x:v>
      </x:c>
      <x:c r="H13" s="37" t="n">
        <x:f>H12/H9</x:f>
        <x:v>0.33315521334928316</x:v>
      </x:c>
      <x:c r="I13" s="47" t="n">
        <x:f>'Assumptions'!F18</x:f>
        <x:v>0.334</x:v>
      </x:c>
      <x:c r="J13" s="47" t="n">
        <x:f>'Assumptions'!G18</x:f>
        <x:v>0.335</x:v>
      </x:c>
      <x:c r="K13" s="47" t="n">
        <x:f>'Assumptions'!H18</x:f>
        <x:v>0.336</x:v>
      </x:c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1"/>
      <x:c r="B14" s="1"/>
      <x:c r="C14" s="1"/>
      <x:c r="D14" s="14"/>
      <x:c r="E14" s="14"/>
      <x:c r="F14" s="14"/>
      <x:c r="G14" s="14"/>
      <x:c r="H14" s="14"/>
      <x:c r="I14" s="46"/>
      <x:c r="J14" s="46"/>
      <x:c r="K14" s="46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1"/>
      <x:c r="B15" s="1"/>
      <x:c r="C15" s="1" t="str">
        <x:v>SG&amp;A</x:v>
      </x:c>
      <x:c r="D15" s="14" t="n">
        <x:f>'Data'!M9</x:f>
        <x:v>25406</x:v>
      </x:c>
      <x:c r="E15" s="14" t="n">
        <x:f>'Data'!N9</x:f>
        <x:v>26284</x:v>
      </x:c>
      <x:c r="F15" s="14" t="n">
        <x:f>'Data'!O9</x:f>
        <x:v>26598</x:v>
      </x:c>
      <x:c r="G15" s="14" t="n">
        <x:f>'Data'!P9</x:f>
        <x:v>28748</x:v>
      </x:c>
      <x:c r="H15" s="14" t="n">
        <x:f>'Data'!Q9</x:f>
        <x:v>30702</x:v>
      </x:c>
      <x:c r="I15" s="46" t="n">
        <x:f>I12-I17-I18</x:f>
        <x:v>31396.813950000003</x:v>
      </x:c>
      <x:c r="J15" s="46" t="n">
        <x:f>J12-J17-J18</x:f>
        <x:v>32164.854291249998</x:v>
      </x:c>
      <x:c r="K15" s="46" t="n">
        <x:f>K12-K17-K18</x:f>
        <x:v>33110.67487148999</x:v>
      </x:c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1"/>
      <x:c r="B16" s="1"/>
      <x:c r="C16" s="36" t="str">
        <x:v>SG&amp;A as % Revenue</x:v>
      </x:c>
      <x:c r="D16" s="37" t="n">
        <x:f>D15/D9</x:f>
        <x:v>0.16807690017663754</x:v>
      </x:c>
      <x:c r="E16" s="37" t="n">
        <x:f>E15/E9</x:f>
        <x:v>0.16698538147303418</x:v>
      </x:c>
      <x:c r="F16" s="37" t="n">
        <x:f>F15/F9</x:f>
        <x:v>0.17422004467180632</x:v>
      </x:c>
      <x:c r="G16" s="37" t="n">
        <x:f>G15/G9</x:f>
        <x:v>0.1802224256178141</x:v>
      </x:c>
      <x:c r="H16" s="37" t="n">
        <x:f>H15/H9</x:f>
        <x:v>0.18643090057868755</x:v>
      </x:c>
      <x:c r="I16" s="47" t="n">
        <x:f>I15/I9</x:f>
        <x:v>0.18600000000000003</x:v>
      </x:c>
      <x:c r="J16" s="47" t="n">
        <x:f>J15/J9</x:f>
        <x:v>0.18500000000000003</x:v>
      </x:c>
      <x:c r="K16" s="47" t="n">
        <x:f>K15/K9</x:f>
        <x:v>0.184</x:v>
      </x:c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1"/>
      <x:c r="B17" s="1"/>
      <x:c r="C17" s="1" t="str">
        <x:v>Depreciation &amp; Amortization Expense</x:v>
      </x:c>
      <x:c r="D17" s="14" t="n">
        <x:f>'Data'!M10</x:f>
        <x:v>2386</x:v>
      </x:c>
      <x:c r="E17" s="14" t="n">
        <x:f>'Data'!N10</x:f>
        <x:v>2455</x:v>
      </x:c>
      <x:c r="F17" s="14" t="n">
        <x:f>'Data'!O10</x:f>
        <x:v>2673</x:v>
      </x:c>
      <x:c r="G17" s="14" t="n">
        <x:f>'Data'!P10</x:f>
        <x:v>3034</x:v>
      </x:c>
      <x:c r="H17" s="14" t="n">
        <x:f>'Data'!Q10</x:f>
        <x:v>3273</x:v>
      </x:c>
      <x:c r="I17" s="46" t="n">
        <x:f>I9*'Assumptions'!$D$44</x:f>
        <x:v>3376.0015</x:v>
      </x:c>
      <x:c r="J17" s="46" t="n">
        <x:f>J9*'Assumptions'!$D$44</x:f>
        <x:v>3477.2815449999994</x:v>
      </x:c>
      <x:c r="K17" s="46" t="n">
        <x:f>K9*'Assumptions'!$D$44</x:f>
        <x:v>3598.986399074999</x:v>
      </x:c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"/>
      <x:c r="B18" s="1"/>
      <x:c r="C18" s="39" t="str">
        <x:v>Operating Income</x:v>
      </x:c>
      <x:c r="D18" s="40" t="n">
        <x:f>'Data'!M11</x:f>
        <x:v>23040</x:v>
      </x:c>
      <x:c r="E18" s="40" t="n">
        <x:f>'Data'!N11</x:f>
        <x:v>24039</x:v>
      </x:c>
      <x:c r="F18" s="40" t="n">
        <x:f>'Data'!O11</x:f>
        <x:v>21689</x:v>
      </x:c>
      <x:c r="G18" s="40" t="n">
        <x:f>'Data'!P11</x:f>
        <x:v>21526</x:v>
      </x:c>
      <x:c r="H18" s="40" t="n">
        <x:f>'Data'!Q11</x:f>
        <x:v>20890</x:v>
      </x:c>
      <x:c r="I18" s="48" t="n">
        <x:f>I9*I19</x:f>
        <x:v>21606.4096</x:v>
      </x:c>
      <x:c r="J18" s="48" t="n">
        <x:f>J9*J19</x:f>
        <x:v>22602.330042499998</x:v>
      </x:c>
      <x:c r="K18" s="48" t="n">
        <x:f>K9*K19</x:f>
        <x:v>23753.310233894994</x:v>
      </x:c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"/>
      <x:c r="B19" s="1"/>
      <x:c r="C19" s="36" t="str">
        <x:v>Operating Margin</x:v>
      </x:c>
      <x:c r="D19" s="37" t="n">
        <x:f>D18/D9</x:f>
        <x:v>0.15242430056166767</x:v>
      </x:c>
      <x:c r="E19" s="37" t="n">
        <x:f>E18/E9</x:f>
        <x:v>0.15272262917479337</x:v>
      </x:c>
      <x:c r="F19" s="37" t="n">
        <x:f>F18/F9</x:f>
        <x:v>0.1420655142825328</x:v>
      </x:c>
      <x:c r="G19" s="37" t="n">
        <x:f>G18/G9</x:f>
        <x:v>0.13494740273581002</x:v>
      </x:c>
      <x:c r="H19" s="37" t="n">
        <x:f>H18/H9</x:f>
        <x:v>0.12684976591390731</x:v>
      </x:c>
      <x:c r="I19" s="47" t="n">
        <x:f>'Assumptions'!F24</x:f>
        <x:v>0.128</x:v>
      </x:c>
      <x:c r="J19" s="47" t="n">
        <x:f>'Assumptions'!G24</x:f>
        <x:v>0.13</x:v>
      </x:c>
      <x:c r="K19" s="47" t="n">
        <x:f>'Assumptions'!H24</x:f>
        <x:v>0.132</x:v>
      </x:c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"/>
      <x:c r="B20" s="1"/>
      <x:c r="C20" s="1"/>
      <x:c r="D20" s="14"/>
      <x:c r="E20" s="14"/>
      <x:c r="F20" s="14"/>
      <x:c r="G20" s="14"/>
      <x:c r="H20" s="14"/>
      <x:c r="I20" s="46"/>
      <x:c r="J20" s="46"/>
      <x:c r="K20" s="46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"/>
      <x:c r="B21" s="1"/>
      <x:c r="C21" s="1" t="str">
        <x:v>Interest Expense</x:v>
      </x:c>
      <x:c r="D21" s="14" t="n">
        <x:f>'Data'!M12</x:f>
        <x:v>1347</x:v>
      </x:c>
      <x:c r="E21" s="14" t="n">
        <x:f>'Data'!N12</x:f>
        <x:v>1617</x:v>
      </x:c>
      <x:c r="F21" s="14" t="n">
        <x:f>'Data'!O12</x:f>
        <x:v>1943</x:v>
      </x:c>
      <x:c r="G21" s="14" t="n">
        <x:f>'Data'!P12</x:f>
        <x:v>2321</x:v>
      </x:c>
      <x:c r="H21" s="14" t="n">
        <x:f>'Data'!Q12</x:f>
        <x:v>2412</x:v>
      </x:c>
      <x:c r="I21" s="46" t="n">
        <x:f>'Assumptions'!$D$42</x:f>
        <x:v>2412</x:v>
      </x:c>
      <x:c r="J21" s="46" t="n">
        <x:f>'Assumptions'!$D$42</x:f>
        <x:v>2412</x:v>
      </x:c>
      <x:c r="K21" s="46" t="n">
        <x:f>'Assumptions'!$D$42</x:f>
        <x:v>2412</x:v>
      </x:c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/>
      <x:c r="B22" s="1"/>
      <x:c r="C22" s="1" t="str">
        <x:v>Income Before Tax</x:v>
      </x:c>
      <x:c r="D22" s="14" t="n">
        <x:f>'Data'!M13</x:f>
        <x:v>21737</x:v>
      </x:c>
      <x:c r="E22" s="14" t="n">
        <x:f>'Data'!N13</x:f>
        <x:v>22477</x:v>
      </x:c>
      <x:c r="F22" s="14" t="n">
        <x:f>'Data'!O13</x:f>
        <x:v>19924</x:v>
      </x:c>
      <x:c r="G22" s="14" t="n">
        <x:f>'Data'!P13</x:f>
        <x:v>19406</x:v>
      </x:c>
      <x:c r="H22" s="14" t="n">
        <x:f>'Data'!Q13</x:f>
        <x:v>18602</x:v>
      </x:c>
      <x:c r="I22" s="46" t="n">
        <x:f>I18-I21</x:f>
        <x:v>19194.4096</x:v>
      </x:c>
      <x:c r="J22" s="46" t="n">
        <x:f>J18-J21</x:f>
        <x:v>20190.330042499998</x:v>
      </x:c>
      <x:c r="K22" s="46" t="n">
        <x:f>K18-K21</x:f>
        <x:v>21341.310233894994</x:v>
      </x:c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/>
      <x:c r="B23" s="1"/>
      <x:c r="C23" s="1" t="str">
        <x:v>Income Tax Expense</x:v>
      </x:c>
      <x:c r="D23" s="14" t="n">
        <x:f>'Data'!M14</x:f>
        <x:v>5304</x:v>
      </x:c>
      <x:c r="E23" s="14" t="n">
        <x:f>'Data'!N14</x:f>
        <x:v>5372</x:v>
      </x:c>
      <x:c r="F23" s="14" t="n">
        <x:f>'Data'!O14</x:f>
        <x:v>4781</x:v>
      </x:c>
      <x:c r="G23" s="14" t="n">
        <x:f>'Data'!P14</x:f>
        <x:v>4600</x:v>
      </x:c>
      <x:c r="H23" s="14" t="n">
        <x:f>'Data'!Q14</x:f>
        <x:v>4446</x:v>
      </x:c>
      <x:c r="I23" s="46" t="n">
        <x:f>I22*'Assumptions'!$D$43</x:f>
        <x:v>4587.4638944</x:v>
      </x:c>
      <x:c r="J23" s="46" t="n">
        <x:f>J22*'Assumptions'!$D$43</x:f>
        <x:v>4825.488880157499</x:v>
      </x:c>
      <x:c r="K23" s="46" t="n">
        <x:f>K22*'Assumptions'!$D$43</x:f>
        <x:v>5100.573145900903</x:v>
      </x:c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39" t="str">
        <x:v>Net Income</x:v>
      </x:c>
      <x:c r="D24" s="40" t="n">
        <x:f>'Data'!M15</x:f>
        <x:v>16433</x:v>
      </x:c>
      <x:c r="E24" s="40" t="n">
        <x:f>'Data'!N15</x:f>
        <x:v>17105</x:v>
      </x:c>
      <x:c r="F24" s="40" t="n">
        <x:f>'Data'!O15</x:f>
        <x:v>15143</x:v>
      </x:c>
      <x:c r="G24" s="40" t="n">
        <x:f>'Data'!P15</x:f>
        <x:v>14806</x:v>
      </x:c>
      <x:c r="H24" s="40" t="n">
        <x:f>'Data'!Q15</x:f>
        <x:v>14156</x:v>
      </x:c>
      <x:c r="I24" s="48" t="n">
        <x:f>I22-I23</x:f>
        <x:v>14606.9457056</x:v>
      </x:c>
      <x:c r="J24" s="48" t="n">
        <x:f>J22-J23</x:f>
        <x:v>15364.841162342498</x:v>
      </x:c>
      <x:c r="K24" s="48" t="n">
        <x:f>K22-K23</x:f>
        <x:v>16240.73708799409</x:v>
      </x:c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36" t="str">
        <x:v>Net Margin</x:v>
      </x:c>
      <x:c r="D25" s="37" t="n">
        <x:f>D24/D9</x:f>
        <x:v>0.1087147799969568</x:v>
      </x:c>
      <x:c r="E25" s="37" t="n">
        <x:f>E24/E9</x:f>
        <x:v>0.10867010158637383</x:v>
      </x:c>
      <x:c r="F25" s="37" t="n">
        <x:f>F24/F9</x:f>
        <x:v>0.09918844035134834</x:v>
      </x:c>
      <x:c r="G25" s="37" t="n">
        <x:f>G24/G9</x:f>
        <x:v>0.09281943904610254</x:v>
      </x:c>
      <x:c r="H25" s="37" t="n">
        <x:f>H24/H9</x:f>
        <x:v>0.08595908503002739</x:v>
      </x:c>
      <x:c r="I25" s="47" t="n">
        <x:f>I24/I9</x:f>
        <x:v>0.08653400009212081</x:v>
      </x:c>
      <x:c r="J25" s="47" t="n">
        <x:f>J24/J9</x:f>
        <x:v>0.08837271853603963</x:v>
      </x:c>
      <x:c r="K25" s="47" t="n">
        <x:f>K24/K9</x:f>
        <x:v>0.09025172805414457</x:v>
      </x:c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4"/>
      <x:c r="E26" s="14"/>
      <x:c r="F26" s="14"/>
      <x:c r="G26" s="14"/>
      <x:c r="H26" s="14"/>
      <x:c r="I26" s="46"/>
      <x:c r="J26" s="46"/>
      <x:c r="K26" s="46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4"/>
      <x:c r="E27" s="14"/>
      <x:c r="F27" s="14"/>
      <x:c r="G27" s="14"/>
      <x:c r="H27" s="14"/>
      <x:c r="I27" s="46"/>
      <x:c r="J27" s="46"/>
      <x:c r="K27" s="46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20" t="str">
        <x:v>Cash flow</x:v>
      </x:c>
      <x:c r="D28" s="34"/>
      <x:c r="E28" s="34"/>
      <x:c r="F28" s="34"/>
      <x:c r="G28" s="34"/>
      <x:c r="H28" s="34"/>
      <x:c r="I28" s="49"/>
      <x:c r="J28" s="49"/>
      <x:c r="K28" s="50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 t="str">
        <x:v>Operating Cash Flow</x:v>
      </x:c>
      <x:c r="D29" s="14" t="n">
        <x:f>'Data'!M28</x:f>
        <x:v>16571</x:v>
      </x:c>
      <x:c r="E29" s="14" t="n">
        <x:f>'Data'!N28</x:f>
        <x:v>14615</x:v>
      </x:c>
      <x:c r="F29" s="14" t="n">
        <x:f>'Data'!O28</x:f>
        <x:v>21172</x:v>
      </x:c>
      <x:c r="G29" s="14" t="n">
        <x:f>'Data'!P28</x:f>
        <x:v>19810</x:v>
      </x:c>
      <x:c r="H29" s="14" t="n">
        <x:f>'Data'!Q28</x:f>
        <x:v>16325</x:v>
      </x:c>
      <x:c r="I29" s="46" t="n">
        <x:f>I24*I30</x:f>
        <x:v>16359.779190272</x:v>
      </x:c>
      <x:c r="J29" s="46" t="n">
        <x:f>J24*J30</x:f>
        <x:v>17669.56733669387</x:v>
      </x:c>
      <x:c r="K29" s="46" t="n">
        <x:f>K24*K30</x:f>
        <x:v>19001.662392953083</x:v>
      </x:c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36" t="str">
        <x:v>CFO / Net Income</x:v>
      </x:c>
      <x:c r="D30" s="38" t="n">
        <x:f>D29/D24</x:f>
        <x:v>1.0083977362623988</x:v>
      </x:c>
      <x:c r="E30" s="38" t="n">
        <x:f>E29/E24</x:f>
        <x:v>0.8544285296696872</x:v>
      </x:c>
      <x:c r="F30" s="38" t="n">
        <x:f>F29/F24</x:f>
        <x:v>1.3981377534174206</x:v>
      </x:c>
      <x:c r="G30" s="38" t="n">
        <x:f>G29/G24</x:f>
        <x:v>1.3379710928002162</x:v>
      </x:c>
      <x:c r="H30" s="38" t="n">
        <x:f>H29/H24</x:f>
        <x:v>1.1532212489403786</x:v>
      </x:c>
      <x:c r="I30" s="51" t="n">
        <x:f>'Assumptions'!F30</x:f>
        <x:v>1.12</x:v>
      </x:c>
      <x:c r="J30" s="51" t="n">
        <x:f>'Assumptions'!G30</x:f>
        <x:v>1.15</x:v>
      </x:c>
      <x:c r="K30" s="51" t="n">
        <x:f>'Assumptions'!H30</x:f>
        <x:v>1.17</x:v>
      </x:c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 t="str">
        <x:v>Capital Expenditures</x:v>
      </x:c>
      <x:c r="D31" s="14" t="n">
        <x:f>'Data'!M33</x:f>
        <x:v>2566</x:v>
      </x:c>
      <x:c r="E31" s="14" t="n">
        <x:f>'Data'!N33</x:f>
        <x:v>3119</x:v>
      </x:c>
      <x:c r="F31" s="14" t="n">
        <x:f>'Data'!O33</x:f>
        <x:v>3226</x:v>
      </x:c>
      <x:c r="G31" s="14" t="n">
        <x:f>'Data'!P33</x:f>
        <x:v>3485</x:v>
      </x:c>
      <x:c r="H31" s="14" t="n">
        <x:f>'Data'!Q33</x:f>
        <x:v>3679</x:v>
      </x:c>
      <x:c r="I31" s="46" t="n">
        <x:f>I9*'Assumptions'!F36</x:f>
        <x:v>3882.4017249999997</x:v>
      </x:c>
      <x:c r="J31" s="46" t="n">
        <x:f>J9*'Assumptions'!G36</x:f>
        <x:v>3998.8737767499993</x:v>
      </x:c>
      <x:c r="K31" s="46" t="n">
        <x:f>K9*'Assumptions'!H36</x:f>
        <x:v>4138.8343589362485</x:v>
      </x:c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39" t="str">
        <x:v>Free Cash Flow</x:v>
      </x:c>
      <x:c r="D32" s="40" t="n">
        <x:f>D29-D31</x:f>
        <x:v>14005</x:v>
      </x:c>
      <x:c r="E32" s="40" t="n">
        <x:f>E29-E31</x:f>
        <x:v>11496</x:v>
      </x:c>
      <x:c r="F32" s="40" t="n">
        <x:f>F29-F31</x:f>
        <x:v>17946</x:v>
      </x:c>
      <x:c r="G32" s="40" t="n">
        <x:f>G29-G31</x:f>
        <x:v>16325</x:v>
      </x:c>
      <x:c r="H32" s="40" t="n">
        <x:f>H29-H31</x:f>
        <x:v>12646</x:v>
      </x:c>
      <x:c r="I32" s="48" t="n">
        <x:f>I29-I31</x:f>
        <x:v>12477.377465272</x:v>
      </x:c>
      <x:c r="J32" s="48" t="n">
        <x:f>J29-J31</x:f>
        <x:v>13670.693559943873</x:v>
      </x:c>
      <x:c r="K32" s="48" t="n">
        <x:f>K29-K31</x:f>
        <x:v>14862.828034016835</x:v>
      </x:c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4"/>
      <x:c r="E33" s="14"/>
      <x:c r="F33" s="14"/>
      <x:c r="G33" s="14"/>
      <x:c r="H33" s="14"/>
      <x:c r="I33" s="46"/>
      <x:c r="J33" s="46"/>
      <x:c r="K33" s="46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4"/>
      <x:c r="E34" s="14"/>
      <x:c r="F34" s="14"/>
      <x:c r="G34" s="14"/>
      <x:c r="H34" s="14"/>
      <x:c r="I34" s="46"/>
      <x:c r="J34" s="46"/>
      <x:c r="K34" s="46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20" t="str">
        <x:v>Balance sheet</x:v>
      </x:c>
      <x:c r="D35" s="34"/>
      <x:c r="E35" s="34"/>
      <x:c r="F35" s="34"/>
      <x:c r="G35" s="34"/>
      <x:c r="H35" s="34"/>
      <x:c r="I35" s="49"/>
      <x:c r="J35" s="49"/>
      <x:c r="K35" s="50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 t="str">
        <x:v>Cash &amp; Equivalents</x:v>
      </x:c>
      <x:c r="D36" s="14" t="n">
        <x:f>'Data'!M16</x:f>
        <x:v>2343</x:v>
      </x:c>
      <x:c r="E36" s="14" t="n">
        <x:f>'Data'!N16</x:f>
        <x:v>2757</x:v>
      </x:c>
      <x:c r="F36" s="14" t="n">
        <x:f>'Data'!O16</x:f>
        <x:v>3760</x:v>
      </x:c>
      <x:c r="G36" s="14" t="n">
        <x:f>'Data'!P16</x:f>
        <x:v>1659</x:v>
      </x:c>
      <x:c r="H36" s="14" t="n">
        <x:f>'Data'!Q16</x:f>
        <x:v>1389</x:v>
      </x:c>
      <x:c r="I36" s="46"/>
      <x:c r="J36" s="46"/>
      <x:c r="K36" s="46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 t="str">
        <x:v>Accounts Receivable</x:v>
      </x:c>
      <x:c r="D37" s="14" t="n">
        <x:f>'Data'!M17</x:f>
        <x:v>3426</x:v>
      </x:c>
      <x:c r="E37" s="14" t="n">
        <x:f>'Data'!N17</x:f>
        <x:v>3317</x:v>
      </x:c>
      <x:c r="F37" s="14" t="n">
        <x:f>'Data'!O17</x:f>
        <x:v>3328</x:v>
      </x:c>
      <x:c r="G37" s="14" t="n">
        <x:f>'Data'!P17</x:f>
        <x:v>4903</x:v>
      </x:c>
      <x:c r="H37" s="14" t="n">
        <x:f>'Data'!Q17</x:f>
        <x:v>5597</x:v>
      </x:c>
      <x:c r="I37" s="46"/>
      <x:c r="J37" s="46"/>
      <x:c r="K37" s="46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 t="str">
        <x:v>Inventory</x:v>
      </x:c>
      <x:c r="D38" s="14" t="n">
        <x:f>'Data'!M18</x:f>
        <x:v>22068</x:v>
      </x:c>
      <x:c r="E38" s="14" t="n">
        <x:f>'Data'!N18</x:f>
        <x:v>24886</x:v>
      </x:c>
      <x:c r="F38" s="14" t="n">
        <x:f>'Data'!O18</x:f>
        <x:v>20976</x:v>
      </x:c>
      <x:c r="G38" s="14" t="n">
        <x:f>'Data'!P18</x:f>
        <x:v>23451</x:v>
      </x:c>
      <x:c r="H38" s="14" t="n">
        <x:f>'Data'!Q18</x:f>
        <x:v>25817</x:v>
      </x:c>
      <x:c r="I38" s="46"/>
      <x:c r="J38" s="46"/>
      <x:c r="K38" s="46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39" t="str">
        <x:v>Current Assets</x:v>
      </x:c>
      <x:c r="D39" s="40" t="n">
        <x:f>'Data'!M19</x:f>
        <x:v>29055</x:v>
      </x:c>
      <x:c r="E39" s="40" t="n">
        <x:f>'Data'!N19</x:f>
        <x:v>32471</x:v>
      </x:c>
      <x:c r="F39" s="40" t="n">
        <x:f>'Data'!O19</x:f>
        <x:v>29775</x:v>
      </x:c>
      <x:c r="G39" s="40" t="n">
        <x:f>'Data'!P19</x:f>
        <x:v>31683</x:v>
      </x:c>
      <x:c r="H39" s="40" t="n">
        <x:f>'Data'!Q19</x:f>
        <x:v>34391</x:v>
      </x:c>
      <x:c r="I39" s="48"/>
      <x:c r="J39" s="48"/>
      <x:c r="K39" s="48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39" t="str">
        <x:v>Total Assets</x:v>
      </x:c>
      <x:c r="D40" s="40" t="n">
        <x:f>'Data'!M20</x:f>
        <x:v>71876</x:v>
      </x:c>
      <x:c r="E40" s="40" t="n">
        <x:f>'Data'!N20</x:f>
        <x:v>76445</x:v>
      </x:c>
      <x:c r="F40" s="40" t="n">
        <x:f>'Data'!O20</x:f>
        <x:v>76530</x:v>
      </x:c>
      <x:c r="G40" s="40" t="n">
        <x:f>'Data'!P20</x:f>
        <x:v>96119</x:v>
      </x:c>
      <x:c r="H40" s="40" t="n">
        <x:f>'Data'!Q20</x:f>
        <x:v>105095</x:v>
      </x:c>
      <x:c r="I40" s="48"/>
      <x:c r="J40" s="48"/>
      <x:c r="K40" s="48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4"/>
      <x:c r="E41" s="14"/>
      <x:c r="F41" s="14"/>
      <x:c r="G41" s="14"/>
      <x:c r="H41" s="14"/>
      <x:c r="I41" s="46"/>
      <x:c r="J41" s="46"/>
      <x:c r="K41" s="46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 t="str">
        <x:v>Accounts Payable</x:v>
      </x:c>
      <x:c r="D42" s="14" t="n">
        <x:f>'Data'!M21</x:f>
        <x:v>13462</x:v>
      </x:c>
      <x:c r="E42" s="14" t="n">
        <x:f>'Data'!N21</x:f>
        <x:v>11443</x:v>
      </x:c>
      <x:c r="F42" s="14" t="n">
        <x:f>'Data'!O21</x:f>
        <x:v>10037</x:v>
      </x:c>
      <x:c r="G42" s="14" t="n">
        <x:f>'Data'!P21</x:f>
        <x:v>11938</x:v>
      </x:c>
      <x:c r="H42" s="14" t="n">
        <x:f>'Data'!Q21</x:f>
        <x:v>11491</x:v>
      </x:c>
      <x:c r="I42" s="46"/>
      <x:c r="J42" s="46"/>
      <x:c r="K42" s="46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 t="str">
        <x:v>Current Debt</x:v>
      </x:c>
      <x:c r="D43" s="14" t="n">
        <x:f>'Data'!M23</x:f>
        <x:v>2447</x:v>
      </x:c>
      <x:c r="E43" s="14" t="n">
        <x:f>'Data'!N23</x:f>
        <x:v>1231</x:v>
      </x:c>
      <x:c r="F43" s="14" t="n">
        <x:f>'Data'!O23</x:f>
        <x:v>1368</x:v>
      </x:c>
      <x:c r="G43" s="14" t="n">
        <x:f>'Data'!P23</x:f>
        <x:v>4582</x:v>
      </x:c>
      <x:c r="H43" s="14" t="n">
        <x:f>'Data'!Q23</x:f>
        <x:v>4967</x:v>
      </x:c>
      <x:c r="I43" s="46"/>
      <x:c r="J43" s="46"/>
      <x:c r="K43" s="46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39" t="str">
        <x:v>Current Liabilities</x:v>
      </x:c>
      <x:c r="D44" s="40" t="n">
        <x:f>'Data'!M22</x:f>
        <x:v>28693</x:v>
      </x:c>
      <x:c r="E44" s="40" t="n">
        <x:f>'Data'!N22</x:f>
        <x:v>23110</x:v>
      </x:c>
      <x:c r="F44" s="40" t="n">
        <x:f>'Data'!O22</x:f>
        <x:v>22015</x:v>
      </x:c>
      <x:c r="G44" s="40" t="n">
        <x:f>'Data'!P22</x:f>
        <x:v>28661</x:v>
      </x:c>
      <x:c r="H44" s="40" t="n">
        <x:f>'Data'!Q22</x:f>
        <x:v>32424</x:v>
      </x:c>
      <x:c r="I44" s="48"/>
      <x:c r="J44" s="48"/>
      <x:c r="K44" s="48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 t="str">
        <x:v>Long-term Debt</x:v>
      </x:c>
      <x:c r="D45" s="14" t="n">
        <x:f>'Data'!M24</x:f>
        <x:v>36604</x:v>
      </x:c>
      <x:c r="E45" s="14" t="n">
        <x:f>'Data'!N24</x:f>
        <x:v>41962</x:v>
      </x:c>
      <x:c r="F45" s="14" t="n">
        <x:f>'Data'!O24</x:f>
        <x:v>42743</x:v>
      </x:c>
      <x:c r="G45" s="14" t="n">
        <x:f>'Data'!P24</x:f>
        <x:v>48485</x:v>
      </x:c>
      <x:c r="H45" s="14" t="n">
        <x:f>'Data'!Q24</x:f>
        <x:v>46341</x:v>
      </x:c>
      <x:c r="I45" s="46"/>
      <x:c r="J45" s="46"/>
      <x:c r="K45" s="46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 t="str">
        <x:v>Operating Lease Liabilities</x:v>
      </x:c>
      <x:c r="D46" s="14" t="n">
        <x:f>'Data'!M25</x:f>
        <x:v>6183</x:v>
      </x:c>
      <x:c r="E46" s="14" t="n">
        <x:f>'Data'!N25</x:f>
        <x:v>7171</x:v>
      </x:c>
      <x:c r="F46" s="14" t="n">
        <x:f>'Data'!O25</x:f>
        <x:v>8132</x:v>
      </x:c>
      <x:c r="G46" s="14" t="n">
        <x:f>'Data'!P25</x:f>
        <x:v>8907</x:v>
      </x:c>
      <x:c r="H46" s="14" t="n">
        <x:f>'Data'!Q25</x:f>
        <x:v>9578</x:v>
      </x:c>
      <x:c r="I46" s="46"/>
      <x:c r="J46" s="46"/>
      <x:c r="K46" s="46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39" t="str">
        <x:v>Total Liabilities</x:v>
      </x:c>
      <x:c r="D47" s="40" t="n">
        <x:f>'Data'!M26</x:f>
        <x:v>73572</x:v>
      </x:c>
      <x:c r="E47" s="40" t="n">
        <x:f>'Data'!N26</x:f>
        <x:v>74883</x:v>
      </x:c>
      <x:c r="F47" s="40" t="n">
        <x:f>'Data'!O26</x:f>
        <x:v>75486</x:v>
      </x:c>
      <x:c r="G47" s="40" t="n">
        <x:f>'Data'!P26</x:f>
        <x:v>89479</x:v>
      </x:c>
      <x:c r="H47" s="40" t="n">
        <x:f>'Data'!Q26</x:f>
        <x:v>92282</x:v>
      </x:c>
      <x:c r="I47" s="48"/>
      <x:c r="J47" s="48"/>
      <x:c r="K47" s="48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39" t="str">
        <x:v>Stockholders' Equity</x:v>
      </x:c>
      <x:c r="D48" s="40" t="n">
        <x:f>'Data'!M27</x:f>
        <x:v>-1696</x:v>
      </x:c>
      <x:c r="E48" s="40" t="n">
        <x:f>'Data'!N27</x:f>
        <x:v>1562</x:v>
      </x:c>
      <x:c r="F48" s="40" t="n">
        <x:f>'Data'!O27</x:f>
        <x:v>1044</x:v>
      </x:c>
      <x:c r="G48" s="40" t="n">
        <x:f>'Data'!P27</x:f>
        <x:v>6640</x:v>
      </x:c>
      <x:c r="H48" s="40" t="n">
        <x:f>'Data'!Q27</x:f>
        <x:v>12813</x:v>
      </x:c>
      <x:c r="I48" s="48"/>
      <x:c r="J48" s="48"/>
      <x:c r="K48" s="48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</x:sheetData>
  <x:mergeCells>
    <x:mergeCell ref="C2:N2"/>
    <x:mergeCell ref="C4:N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3" hidden="0" customWidth="1"/>
    <x:col min="3" max="3" width="29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1"/>
      <x:c r="B2" s="1"/>
      <x:c r="C2" s="2" t="str">
        <x:v>Ratios and working capital</x:v>
      </x:c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1"/>
      <x:c r="B3" s="1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1"/>
      <x:c r="B4" s="1"/>
      <x:c r="C4" s="4" t="str">
        <x:v>Liquidity, leverage, cash conversion, and efficiency trends.</x:v>
      </x:c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1"/>
      <x:c r="B6" s="1"/>
      <x:c r="C6" s="9" t="str">
        <x:v>Metric</x:v>
      </x:c>
      <x:c r="D6" s="10" t="n">
        <x:v>2021</x:v>
      </x:c>
      <x:c r="E6" s="10" t="n">
        <x:v>2022</x:v>
      </x:c>
      <x:c r="F6" s="10" t="n">
        <x:v>2023</x:v>
      </x:c>
      <x:c r="G6" s="10" t="n">
        <x:v>2024</x:v>
      </x:c>
      <x:c r="H6" s="11" t="n">
        <x:v>2025</x:v>
      </x:c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1"/>
      <x:c r="B7" s="1"/>
      <x:c r="C7" s="1" t="str">
        <x:v>Revenue Growth</x:v>
      </x:c>
      <x:c r="D7" s="23" t="str">
        <x:f>'Statements'!D10</x:f>
      </x:c>
      <x:c r="E7" s="23" t="n">
        <x:f>'Statements'!E10</x:f>
        <x:v>0.04132127523038953</x:v>
      </x:c>
      <x:c r="F7" s="23" t="n">
        <x:f>'Statements'!F10</x:f>
        <x:v>-0.030075665648049865</x:v>
      </x:c>
      <x:c r="G7" s="23" t="n">
        <x:f>'Statements'!G10</x:f>
        <x:v>0.04483555928184502</x:v>
      </x:c>
      <x:c r="H7" s="23" t="n">
        <x:f>'Statements'!H10</x:f>
        <x:v>0.032404679213109855</x:v>
      </x:c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1"/>
      <x:c r="B8" s="1"/>
      <x:c r="C8" s="1" t="str">
        <x:v>Gross Margin</x:v>
      </x:c>
      <x:c r="D8" s="23" t="n">
        <x:f>'Statements'!D13</x:f>
        <x:v>0.3362861131141793</x:v>
      </x:c>
      <x:c r="E8" s="23" t="n">
        <x:f>'Statements'!E13</x:f>
        <x:v>0.3353049179494673</x:v>
      </x:c>
      <x:c r="F8" s="23" t="n">
        <x:f>'Statements'!F13</x:f>
        <x:v>0.33379402498215094</x:v>
      </x:c>
      <x:c r="G8" s="23" t="n">
        <x:f>'Statements'!G13</x:f>
        <x:v>0.3341901024361498</x:v>
      </x:c>
      <x:c r="H8" s="23" t="n">
        <x:f>'Statements'!H13</x:f>
        <x:v>0.33315521334928316</x:v>
      </x:c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1"/>
      <x:c r="B9" s="1"/>
      <x:c r="C9" s="1" t="str">
        <x:v>Operating Margin</x:v>
      </x:c>
      <x:c r="D9" s="23" t="n">
        <x:f>'Statements'!D19</x:f>
        <x:v>0.15242430056166767</x:v>
      </x:c>
      <x:c r="E9" s="23" t="n">
        <x:f>'Statements'!E19</x:f>
        <x:v>0.15272262917479337</x:v>
      </x:c>
      <x:c r="F9" s="23" t="n">
        <x:f>'Statements'!F19</x:f>
        <x:v>0.1420655142825328</x:v>
      </x:c>
      <x:c r="G9" s="23" t="n">
        <x:f>'Statements'!G19</x:f>
        <x:v>0.13494740273581002</x:v>
      </x:c>
      <x:c r="H9" s="23" t="n">
        <x:f>'Statements'!H19</x:f>
        <x:v>0.12684976591390731</x:v>
      </x:c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1"/>
      <x:c r="B10" s="1"/>
      <x:c r="C10" s="1" t="str">
        <x:v>Net Margin</x:v>
      </x:c>
      <x:c r="D10" s="23" t="n">
        <x:f>'Statements'!D25</x:f>
        <x:v>0.1087147799969568</x:v>
      </x:c>
      <x:c r="E10" s="23" t="n">
        <x:f>'Statements'!E25</x:f>
        <x:v>0.10867010158637383</x:v>
      </x:c>
      <x:c r="F10" s="23" t="n">
        <x:f>'Statements'!F25</x:f>
        <x:v>0.09918844035134834</x:v>
      </x:c>
      <x:c r="G10" s="23" t="n">
        <x:f>'Statements'!G25</x:f>
        <x:v>0.09281943904610254</x:v>
      </x:c>
      <x:c r="H10" s="23" t="n">
        <x:f>'Statements'!H25</x:f>
        <x:v>0.08595908503002739</x:v>
      </x:c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1"/>
      <x:c r="B11" s="1"/>
      <x:c r="C11" s="1" t="str">
        <x:v>SG&amp;A as % Revenue</x:v>
      </x:c>
      <x:c r="D11" s="23" t="n">
        <x:f>'Statements'!D16</x:f>
        <x:v>0.16807690017663754</x:v>
      </x:c>
      <x:c r="E11" s="23" t="n">
        <x:f>'Statements'!E16</x:f>
        <x:v>0.16698538147303418</x:v>
      </x:c>
      <x:c r="F11" s="23" t="n">
        <x:f>'Statements'!F16</x:f>
        <x:v>0.17422004467180632</x:v>
      </x:c>
      <x:c r="G11" s="23" t="n">
        <x:f>'Statements'!G16</x:f>
        <x:v>0.1802224256178141</x:v>
      </x:c>
      <x:c r="H11" s="23" t="n">
        <x:f>'Statements'!H16</x:f>
        <x:v>0.18643090057868755</x:v>
      </x:c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1"/>
      <x:c r="B12" s="1"/>
      <x:c r="C12" s="1" t="str">
        <x:v>Current Ratio</x:v>
      </x:c>
      <x:c r="D12" s="28" t="n">
        <x:f>'Statements'!D39/'Statements'!D44</x:f>
        <x:v>1.012616317568745</x:v>
      </x:c>
      <x:c r="E12" s="28" t="n">
        <x:f>'Statements'!E39/'Statements'!E44</x:f>
        <x:v>1.4050627434011251</x:v>
      </x:c>
      <x:c r="F12" s="28" t="n">
        <x:f>'Statements'!F39/'Statements'!F44</x:f>
        <x:v>1.3524869407222349</x:v>
      </x:c>
      <x:c r="G12" s="28" t="n">
        <x:f>'Statements'!G39/'Statements'!G44</x:f>
        <x:v>1.1054394473326123</x:v>
      </x:c>
      <x:c r="H12" s="28" t="n">
        <x:f>'Statements'!H39/'Statements'!H44</x:f>
        <x:v>1.06066493955095</x:v>
      </x:c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1"/>
      <x:c r="B13" s="1"/>
      <x:c r="C13" s="1" t="str">
        <x:v>Quick Ratio</x:v>
      </x:c>
      <x:c r="D13" s="28" t="n">
        <x:f>('Statements'!D36+'Statements'!D37)/'Statements'!D44</x:f>
        <x:v>0.20105949186212665</x:v>
      </x:c>
      <x:c r="E13" s="28" t="n">
        <x:f>('Statements'!E36+'Statements'!E37)/'Statements'!E44</x:f>
        <x:v>0.26282994374729557</x:v>
      </x:c>
      <x:c r="F13" s="28" t="n">
        <x:f>('Statements'!F36+'Statements'!F37)/'Statements'!F44</x:f>
        <x:v>0.32196229843288665</x:v>
      </x:c>
      <x:c r="G13" s="28" t="n">
        <x:f>('Statements'!G36+'Statements'!G37)/'Statements'!G44</x:f>
        <x:v>0.2289522347440773</x:v>
      </x:c>
      <x:c r="H13" s="28" t="n">
        <x:f>('Statements'!H36+'Statements'!H37)/'Statements'!H44</x:f>
        <x:v>0.21545768566493956</x:v>
      </x:c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1"/>
      <x:c r="B14" s="1"/>
      <x:c r="C14" s="1" t="str">
        <x:v>Debt / Equity</x:v>
      </x:c>
      <x:c r="D14" s="28" t="n">
        <x:f>('Statements'!D43+'Statements'!D45)/'Statements'!D48</x:f>
        <x:v>-23.025353773584907</x:v>
      </x:c>
      <x:c r="E14" s="28" t="n">
        <x:f>('Statements'!E43+'Statements'!E45)/'Statements'!E48</x:f>
        <x:v>27.65236875800256</x:v>
      </x:c>
      <x:c r="F14" s="28" t="n">
        <x:f>('Statements'!F43+'Statements'!F45)/'Statements'!F48</x:f>
        <x:v>42.25191570881226</x:v>
      </x:c>
      <x:c r="G14" s="28" t="n">
        <x:f>('Statements'!G43+'Statements'!G45)/'Statements'!G48</x:f>
        <x:v>7.992018072289157</x:v>
      </x:c>
      <x:c r="H14" s="28" t="n">
        <x:f>('Statements'!H43+'Statements'!H45)/'Statements'!H48</x:f>
        <x:v>4.004370561148833</x:v>
      </x:c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1"/>
      <x:c r="B15" s="1"/>
      <x:c r="C15" s="1" t="str">
        <x:v>Debt / Assets</x:v>
      </x:c>
      <x:c r="D15" s="28" t="n">
        <x:f>('Statements'!D43+'Statements'!D45)/'Statements'!D40</x:f>
        <x:v>0.5433107017641494</x:v>
      </x:c>
      <x:c r="E15" s="28" t="n">
        <x:f>('Statements'!E43+'Statements'!E45)/'Statements'!E40</x:f>
        <x:v>0.565020603047943</x:v>
      </x:c>
      <x:c r="F15" s="28" t="n">
        <x:f>('Statements'!F43+'Statements'!F45)/'Statements'!F40</x:f>
        <x:v>0.5763883444400889</x:v>
      </x:c>
      <x:c r="G15" s="28" t="n">
        <x:f>('Statements'!G43+'Statements'!G45)/'Statements'!G40</x:f>
        <x:v>0.5520968799092791</x:v>
      </x:c>
      <x:c r="H15" s="28" t="n">
        <x:f>('Statements'!H43+'Statements'!H45)/'Statements'!H40</x:f>
        <x:v>0.4882059089395309</x:v>
      </x:c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1"/>
      <x:c r="B16" s="1"/>
      <x:c r="C16" s="1" t="str">
        <x:v>CFO / Net Income</x:v>
      </x:c>
      <x:c r="D16" s="28" t="n">
        <x:f>'Statements'!D30</x:f>
        <x:v>1.0083977362623988</x:v>
      </x:c>
      <x:c r="E16" s="28" t="n">
        <x:f>'Statements'!E30</x:f>
        <x:v>0.8544285296696872</x:v>
      </x:c>
      <x:c r="F16" s="28" t="n">
        <x:f>'Statements'!F30</x:f>
        <x:v>1.3981377534174206</x:v>
      </x:c>
      <x:c r="G16" s="28" t="n">
        <x:f>'Statements'!G30</x:f>
        <x:v>1.3379710928002162</x:v>
      </x:c>
      <x:c r="H16" s="28" t="n">
        <x:f>'Statements'!H30</x:f>
        <x:v>1.1532212489403786</x:v>
      </x:c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1"/>
      <x:c r="B17" s="1"/>
      <x:c r="C17" s="1" t="str">
        <x:v>Free Cash Flow Margin</x:v>
      </x:c>
      <x:c r="D17" s="23" t="n">
        <x:f>'Statements'!D32/'Statements'!D9</x:f>
        <x:v>0.09265201082318385</x:v>
      </x:c>
      <x:c r="E17" s="23" t="n">
        <x:f>'Statements'!E32/'Statements'!E9</x:f>
        <x:v>0.07303545675749509</x:v>
      </x:c>
      <x:c r="F17" s="23" t="n">
        <x:f>'Statements'!F32/'Statements'!F9</x:f>
        <x:v>0.11754842174901257</x:v>
      </x:c>
      <x:c r="G17" s="23" t="n">
        <x:f>'Statements'!G32/'Statements'!G9</x:f>
        <x:v>0.10234211417179684</x:v>
      </x:c>
      <x:c r="H17" s="23" t="n">
        <x:f>'Statements'!H32/'Statements'!H9</x:f>
        <x:v>0.07678995403289957</x:v>
      </x:c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"/>
      <x:c r="B18" s="1"/>
      <x:c r="C18" s="1" t="str">
        <x:v>Inventory Turnover</x:v>
      </x:c>
      <x:c r="D18" s="28" t="n">
        <x:f>'Statements'!D11/(('Statements'!D38+'Statements'!D38)/2)</x:f>
        <x:v>4.546175457676274</x:v>
      </x:c>
      <x:c r="E18" s="28" t="n">
        <x:f>'Statements'!E11/(('Statements'!E38+'Statements'!D38)/2)</x:f>
        <x:v>4.456489329982536</x:v>
      </x:c>
      <x:c r="F18" s="28" t="n">
        <x:f>'Statements'!F11/(('Statements'!F38+'Statements'!E38)/2)</x:f>
        <x:v>4.435436745017662</x:v>
      </x:c>
      <x:c r="G18" s="28" t="n">
        <x:f>'Statements'!G11/(('Statements'!G38+'Statements'!F38)/2)</x:f>
        <x:v>4.781146600040516</x:v>
      </x:c>
      <x:c r="H18" s="28" t="n">
        <x:f>'Statements'!H11/(('Statements'!H38+'Statements'!G38)/2)</x:f>
        <x:v>4.457984898920191</x:v>
      </x:c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"/>
      <x:c r="B19" s="1"/>
      <x:c r="C19" s="1" t="str">
        <x:v>Receivable Days</x:v>
      </x:c>
      <x:c r="D19" s="52" t="n">
        <x:f>(('Statements'!D37+'Statements'!D37)/2)/'Statements'!D9*365</x:f>
        <x:v>8.272789219156241</x:v>
      </x:c>
      <x:c r="E19" s="52" t="n">
        <x:f>(('Statements'!E37+'Statements'!D37)/2)/'Statements'!E9*365</x:f>
        <x:v>7.818132437120004</x:v>
      </x:c>
      <x:c r="F19" s="52" t="n">
        <x:f>(('Statements'!F37+'Statements'!E37)/2)/'Statements'!F9*365</x:f>
        <x:v>7.943410253555076</x:v>
      </x:c>
      <x:c r="G19" s="52" t="n">
        <x:f>(('Statements'!G37+'Statements'!F37)/2)/'Statements'!G9*365</x:f>
        <x:v>9.41708878217586</x:v>
      </x:c>
      <x:c r="H19" s="52" t="n">
        <x:f>(('Statements'!H37+'Statements'!G37)/2)/'Statements'!H9*365</x:f>
        <x:v>11.635991571686208</x:v>
      </x:c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"/>
      <x:c r="B20" s="1"/>
      <x:c r="C20" s="1" t="str">
        <x:v>Inventory Days</x:v>
      </x:c>
      <x:c r="D20" s="52" t="n">
        <x:f>(('Statements'!D38+'Statements'!D38)/2)/'Statements'!D11*365</x:f>
        <x:v>80.28726638425118</x:v>
      </x:c>
      <x:c r="E20" s="52" t="n">
        <x:f>(('Statements'!E38+'Statements'!D38)/2)/'Statements'!E11*365</x:f>
        <x:v>81.90303464755078</x:v>
      </x:c>
      <x:c r="F20" s="52" t="n">
        <x:f>(('Statements'!F38+'Statements'!E38)/2)/'Statements'!F11*365</x:f>
        <x:v>82.29178342132947</x:v>
      </x:c>
      <x:c r="G20" s="52" t="n">
        <x:f>(('Statements'!G38+'Statements'!F38)/2)/'Statements'!G11*365</x:f>
        <x:v>76.34152025309304</x:v>
      </x:c>
      <x:c r="H20" s="52" t="n">
        <x:f>(('Statements'!H38+'Statements'!G38)/2)/'Statements'!H11*365</x:f>
        <x:v>81.87555774098963</x:v>
      </x:c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"/>
      <x:c r="B21" s="1"/>
      <x:c r="C21" s="1" t="str">
        <x:v>Payable Days</x:v>
      </x:c>
      <x:c r="D21" s="52" t="n">
        <x:f>(('Statements'!D42+'Statements'!D42)/2)/'Statements'!D11*365</x:f>
        <x:v>48.97712434587591</x:v>
      </x:c>
      <x:c r="E21" s="52" t="n">
        <x:f>(('Statements'!E42+'Statements'!D42)/2)/'Statements'!E11*365</x:f>
        <x:v>43.44241338112306</x:v>
      </x:c>
      <x:c r="F21" s="52" t="n">
        <x:f>(('Statements'!F42+'Statements'!E42)/2)/'Statements'!F11*365</x:f>
        <x:v>38.542311889803266</x:v>
      </x:c>
      <x:c r="G21" s="52" t="n">
        <x:f>(('Statements'!G42+'Statements'!F42)/2)/'Statements'!G11*365</x:f>
        <x:v>37.76093158578612</x:v>
      </x:c>
      <x:c r="H21" s="52" t="n">
        <x:f>(('Statements'!H42+'Statements'!G42)/2)/'Statements'!H11*365</x:f>
        <x:v>38.935261068313025</x:v>
      </x:c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/>
      <x:c r="B22" s="1"/>
      <x:c r="C22" s="1" t="str">
        <x:v>Cash Conversion Cycle</x:v>
      </x:c>
      <x:c r="D22" s="52" t="n">
        <x:f>D19+D20-D21</x:f>
        <x:v>39.58293125753151</x:v>
      </x:c>
      <x:c r="E22" s="52" t="n">
        <x:f>E19+E20-E21</x:f>
        <x:v>46.27875370354772</x:v>
      </x:c>
      <x:c r="F22" s="52" t="n">
        <x:f>F19+F20-F21</x:f>
        <x:v>51.692881785081276</x:v>
      </x:c>
      <x:c r="G22" s="52" t="n">
        <x:f>G19+G20-G21</x:f>
        <x:v>47.99767744948279</x:v>
      </x:c>
      <x:c r="H22" s="52" t="n">
        <x:f>H19+H20-H21</x:f>
        <x:v>54.576288244362814</x:v>
      </x:c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9" t="str">
        <x:v>Working-capital balance changes ($M)</x:v>
      </x:c>
      <x:c r="D24" s="10" t="n">
        <x:v>2021</x:v>
      </x:c>
      <x:c r="E24" s="10" t="n">
        <x:v>2022</x:v>
      </x:c>
      <x:c r="F24" s="10" t="n">
        <x:v>2023</x:v>
      </x:c>
      <x:c r="G24" s="10" t="n">
        <x:v>2024</x:v>
      </x:c>
      <x:c r="H24" s="11" t="n">
        <x:v>2025</x:v>
      </x:c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 t="str">
        <x:v>Accounts Receivable</x:v>
      </x:c>
      <x:c r="D25" s="14" t="n">
        <x:f>'Statements'!D37</x:f>
        <x:v>3426</x:v>
      </x:c>
      <x:c r="E25" s="14" t="n">
        <x:f>'Statements'!E37</x:f>
        <x:v>3317</x:v>
      </x:c>
      <x:c r="F25" s="14" t="n">
        <x:f>'Statements'!F37</x:f>
        <x:v>3328</x:v>
      </x:c>
      <x:c r="G25" s="14" t="n">
        <x:f>'Statements'!G37</x:f>
        <x:v>4903</x:v>
      </x:c>
      <x:c r="H25" s="14" t="n">
        <x:f>'Statements'!H37</x:f>
        <x:v>5597</x:v>
      </x:c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 t="str">
        <x:v>Inventory</x:v>
      </x:c>
      <x:c r="D26" s="14" t="n">
        <x:f>'Statements'!D38</x:f>
        <x:v>22068</x:v>
      </x:c>
      <x:c r="E26" s="14" t="n">
        <x:f>'Statements'!E38</x:f>
        <x:v>24886</x:v>
      </x:c>
      <x:c r="F26" s="14" t="n">
        <x:f>'Statements'!F38</x:f>
        <x:v>20976</x:v>
      </x:c>
      <x:c r="G26" s="14" t="n">
        <x:f>'Statements'!G38</x:f>
        <x:v>23451</x:v>
      </x:c>
      <x:c r="H26" s="14" t="n">
        <x:f>'Statements'!H38</x:f>
        <x:v>25817</x:v>
      </x:c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 t="str">
        <x:v>Accounts Payable</x:v>
      </x:c>
      <x:c r="D27" s="14" t="n">
        <x:f>'Statements'!D42</x:f>
        <x:v>13462</x:v>
      </x:c>
      <x:c r="E27" s="14" t="n">
        <x:f>'Statements'!E42</x:f>
        <x:v>11443</x:v>
      </x:c>
      <x:c r="F27" s="14" t="n">
        <x:f>'Statements'!F42</x:f>
        <x:v>10037</x:v>
      </x:c>
      <x:c r="G27" s="14" t="n">
        <x:f>'Statements'!G42</x:f>
        <x:v>11938</x:v>
      </x:c>
      <x:c r="H27" s="14" t="n">
        <x:f>'Statements'!H42</x:f>
        <x:v>11491</x:v>
      </x:c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39" t="str">
        <x:v>Net operating working capital</x:v>
      </x:c>
      <x:c r="D28" s="40" t="n">
        <x:f>D25+D26-D27</x:f>
        <x:v>12032</x:v>
      </x:c>
      <x:c r="E28" s="40" t="n">
        <x:f>E25+E26-E27</x:f>
        <x:v>16760</x:v>
      </x:c>
      <x:c r="F28" s="40" t="n">
        <x:f>F25+F26-F27</x:f>
        <x:v>14267</x:v>
      </x:c>
      <x:c r="G28" s="40" t="n">
        <x:f>G25+G26-G27</x:f>
        <x:v>16416</x:v>
      </x:c>
      <x:c r="H28" s="40" t="n">
        <x:f>H25+H26-H27</x:f>
        <x:v>19923</x:v>
      </x:c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</x:sheetData>
  <x:mergeCells>
    <x:mergeCell ref="C2:N2"/>
    <x:mergeCell ref="C4:N4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38" hidden="0" customWidth="1"/>
    <x:col min="4" max="4" width="27" hidden="0" customWidth="1"/>
    <x:col min="5" max="5" width="27" hidden="0" customWidth="1"/>
    <x:col min="6" max="6" width="27" hidden="0" customWidth="1"/>
    <x:col min="7" max="7" width="17" hidden="0" customWidth="1"/>
    <x:col min="8" max="8" width="28" hidden="0" customWidth="1"/>
    <x:col min="9" max="9" width="17" hidden="0" customWidth="1"/>
    <x:col min="10" max="10" width="17" hidden="0" customWidth="1"/>
    <x:col min="11" max="11" width="17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1"/>
      <x:c r="B2" s="1"/>
      <x:c r="C2" s="2" t="str">
        <x:v>Advanced performance analysis</x:v>
      </x:c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1"/>
      <x:c r="B3" s="1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1"/>
      <x:c r="B4" s="1"/>
      <x:c r="C4" s="4" t="str">
        <x:v>Returns, earnings quality, operating-profit attribution, and acquisition-adjusted growth.</x:v>
      </x:c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1"/>
      <x:c r="B6" s="1"/>
      <x:c r="C6" s="9" t="str">
        <x:v>Metric</x:v>
      </x:c>
      <x:c r="D6" s="10" t="n">
        <x:v>2021</x:v>
      </x:c>
      <x:c r="E6" s="10" t="n">
        <x:v>2022</x:v>
      </x:c>
      <x:c r="F6" s="10" t="n">
        <x:v>2023</x:v>
      </x:c>
      <x:c r="G6" s="10" t="n">
        <x:v>2024</x:v>
      </x:c>
      <x:c r="H6" s="11" t="n">
        <x:v>2025</x:v>
      </x:c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1"/>
      <x:c r="B7" s="1"/>
      <x:c r="C7" s="1" t="str">
        <x:v>NOPAT</x:v>
      </x:c>
      <x:c r="D7" s="14" t="n">
        <x:f>'Statements'!D18*(1-'Statements'!D23/'Statements'!D22)</x:f>
        <x:v>17418.057689653586</x:v>
      </x:c>
      <x:c r="E7" s="14" t="n">
        <x:f>'Statements'!E18*(1-'Statements'!E23/'Statements'!E22)</x:f>
        <x:v>18293.68220847978</x:v>
      </x:c>
      <x:c r="F7" s="14" t="n">
        <x:f>'Statements'!F18*(1-'Statements'!F23/'Statements'!F22)</x:f>
        <x:v>16484.467325838184</x:v>
      </x:c>
      <x:c r="G7" s="14" t="n">
        <x:f>'Statements'!G18*(1-'Statements'!G23/'Statements'!G22)</x:f>
        <x:v>16423.47500772957</x:v>
      </x:c>
      <x:c r="H7" s="14" t="n">
        <x:f>'Statements'!H18*(1-'Statements'!H23/'Statements'!H22)</x:f>
        <x:v>15897.152994301687</x:v>
      </x:c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1"/>
      <x:c r="B8" s="1"/>
      <x:c r="C8" s="1" t="str">
        <x:v>Average Assets</x:v>
      </x:c>
      <x:c r="D8" s="14" t="n">
        <x:f>AVERAGE('Statements'!D40,'Statements'!D40)</x:f>
        <x:v>71876</x:v>
      </x:c>
      <x:c r="E8" s="14" t="n">
        <x:f>AVERAGE('Statements'!D40,'Statements'!E40)</x:f>
        <x:v>74160.5</x:v>
      </x:c>
      <x:c r="F8" s="14" t="n">
        <x:f>AVERAGE('Statements'!E40,'Statements'!F40)</x:f>
        <x:v>76487.5</x:v>
      </x:c>
      <x:c r="G8" s="14" t="n">
        <x:f>AVERAGE('Statements'!F40,'Statements'!G40)</x:f>
        <x:v>86324.5</x:v>
      </x:c>
      <x:c r="H8" s="14" t="n">
        <x:f>AVERAGE('Statements'!G40,'Statements'!H40)</x:f>
        <x:v>100607</x:v>
      </x:c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1"/>
      <x:c r="B9" s="1"/>
      <x:c r="C9" s="1" t="str">
        <x:v>ROA</x:v>
      </x:c>
      <x:c r="D9" s="23" t="n">
        <x:f>'Statements'!D24/D8</x:f>
        <x:v>0.2286298625410429</x:v>
      </x:c>
      <x:c r="E9" s="23" t="n">
        <x:f>'Statements'!E24/E8</x:f>
        <x:v>0.23064839098981263</x:v>
      </x:c>
      <x:c r="F9" s="23" t="n">
        <x:f>'Statements'!F24/F8</x:f>
        <x:v>0.1979800621016506</x:v>
      </x:c>
      <x:c r="G9" s="23" t="n">
        <x:f>'Statements'!G24/G8</x:f>
        <x:v>0.17151561839338775</x:v>
      </x:c>
      <x:c r="H9" s="23" t="n">
        <x:f>'Statements'!H24/H8</x:f>
        <x:v>0.1407059150953711</x:v>
      </x:c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1"/>
      <x:c r="B10" s="1"/>
      <x:c r="C10" s="1" t="str">
        <x:v>Invested Capital</x:v>
      </x:c>
      <x:c r="D10" s="14" t="n">
        <x:f>'Statements'!D43+'Statements'!D45+'Statements'!D48-'Statements'!D36</x:f>
        <x:v>35012</x:v>
      </x:c>
      <x:c r="E10" s="14" t="n">
        <x:f>'Statements'!E43+'Statements'!E45+'Statements'!E48-'Statements'!E36</x:f>
        <x:v>41998</x:v>
      </x:c>
      <x:c r="F10" s="14" t="n">
        <x:f>'Statements'!F43+'Statements'!F45+'Statements'!F48-'Statements'!F36</x:f>
        <x:v>41395</x:v>
      </x:c>
      <x:c r="G10" s="14" t="n">
        <x:f>'Statements'!G43+'Statements'!G45+'Statements'!G48-'Statements'!G36</x:f>
        <x:v>58048</x:v>
      </x:c>
      <x:c r="H10" s="14" t="n">
        <x:f>'Statements'!H43+'Statements'!H45+'Statements'!H48-'Statements'!H36</x:f>
        <x:v>62732</x:v>
      </x:c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1"/>
      <x:c r="B11" s="1"/>
      <x:c r="C11" s="1" t="str">
        <x:v>Average Invested Capital</x:v>
      </x:c>
      <x:c r="D11" s="14" t="n">
        <x:f>D10</x:f>
        <x:v>35012</x:v>
      </x:c>
      <x:c r="E11" s="14" t="n">
        <x:f>AVERAGE(D10,E10)</x:f>
        <x:v>38505</x:v>
      </x:c>
      <x:c r="F11" s="14" t="n">
        <x:f>AVERAGE(E10,F10)</x:f>
        <x:v>41696.5</x:v>
      </x:c>
      <x:c r="G11" s="14" t="n">
        <x:f>AVERAGE(F10,G10)</x:f>
        <x:v>49721.5</x:v>
      </x:c>
      <x:c r="H11" s="14" t="n">
        <x:f>AVERAGE(G10,H10)</x:f>
        <x:v>60390</x:v>
      </x:c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1"/>
      <x:c r="B12" s="1"/>
      <x:c r="C12" s="1" t="str">
        <x:v>ROIC</x:v>
      </x:c>
      <x:c r="D12" s="23" t="n">
        <x:f>D7/D11</x:f>
        <x:v>0.49748822374196233</x:v>
      </x:c>
      <x:c r="E12" s="23" t="n">
        <x:f>E7/E11</x:f>
        <x:v>0.4750988756909435</x:v>
      </x:c>
      <x:c r="F12" s="23" t="n">
        <x:f>F7/F11</x:f>
        <x:v>0.3953441494091395</x:v>
      </x:c>
      <x:c r="G12" s="23" t="n">
        <x:f>G7/G11</x:f>
        <x:v>0.3303093230841702</x:v>
      </x:c>
      <x:c r="H12" s="23" t="n">
        <x:f>H7/H11</x:f>
        <x:v>0.2632414802831874</x:v>
      </x:c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1"/>
      <x:c r="B13" s="1"/>
      <x:c r="C13" s="1" t="str">
        <x:v>Asset Turnover</x:v>
      </x:c>
      <x:c r="D13" s="28" t="n">
        <x:f>'Statements'!D9/D8</x:f>
        <x:v>2.103024653570037</x:v>
      </x:c>
      <x:c r="E13" s="28" t="n">
        <x:f>'Statements'!E9/E8</x:f>
        <x:v>2.122464114993831</x:v>
      </x:c>
      <x:c r="F13" s="28" t="n">
        <x:f>'Statements'!F9/F8</x:f>
        <x:v>1.9959993462984147</x:v>
      </x:c>
      <x:c r="G13" s="28" t="n">
        <x:f>'Statements'!G9/G8</x:f>
        <x:v>1.8478415745240344</x:v>
      </x:c>
      <x:c r="H13" s="28" t="n">
        <x:f>'Statements'!H9/H8</x:f>
        <x:v>1.636894053097697</x:v>
      </x:c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1"/>
      <x:c r="B14" s="1"/>
      <x:c r="C14" s="1" t="str">
        <x:v>Interest Coverage</x:v>
      </x:c>
      <x:c r="D14" s="28" t="n">
        <x:f>'Statements'!D18/'Statements'!D21</x:f>
        <x:v>17.104677060133632</x:v>
      </x:c>
      <x:c r="E14" s="28" t="n">
        <x:f>'Statements'!E18/'Statements'!E21</x:f>
        <x:v>14.866419294990724</x:v>
      </x:c>
      <x:c r="F14" s="28" t="n">
        <x:f>'Statements'!F18/'Statements'!F21</x:f>
        <x:v>11.162635100360268</x:v>
      </x:c>
      <x:c r="G14" s="28" t="n">
        <x:f>'Statements'!G18/'Statements'!G21</x:f>
        <x:v>9.274450667815596</x:v>
      </x:c>
      <x:c r="H14" s="28" t="n">
        <x:f>'Statements'!H18/'Statements'!H21</x:f>
        <x:v>8.660862354892206</x:v>
      </x:c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1"/>
      <x:c r="B15" s="1"/>
      <x:c r="C15" s="1" t="str">
        <x:v>Accrual Ratio</x:v>
      </x:c>
      <x:c r="D15" s="23" t="n">
        <x:f>('Statements'!D24-'Statements'!D29)/D8</x:f>
        <x:v>-0.0019199732873281764</x:v>
      </x:c>
      <x:c r="E15" s="23" t="n">
        <x:f>('Statements'!E24-'Statements'!E29)/E8</x:f>
        <x:v>0.03357582540570789</x:v>
      </x:c>
      <x:c r="F15" s="23" t="n">
        <x:f>('Statements'!F24-'Statements'!F29)/F8</x:f>
        <x:v>-0.07882333714659258</x:v>
      </x:c>
      <x:c r="G15" s="23" t="n">
        <x:f>('Statements'!G24-'Statements'!G29)/G8</x:f>
        <x:v>-0.05796732098071811</x:v>
      </x:c>
      <x:c r="H15" s="23" t="n">
        <x:f>('Statements'!H24-'Statements'!H29)/H8</x:f>
        <x:v>-0.021559136044211634</x:v>
      </x:c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1"/>
      <x:c r="B16" s="1"/>
      <x:c r="C16" s="1" t="str">
        <x:v>FCF / Net Income</x:v>
      </x:c>
      <x:c r="D16" s="28" t="n">
        <x:f>'Statements'!D32/'Statements'!D24</x:f>
        <x:v>0.852248524310838</x:v>
      </x:c>
      <x:c r="E16" s="28" t="n">
        <x:f>'Statements'!E32/'Statements'!E24</x:f>
        <x:v>0.6720841859105525</x:v>
      </x:c>
      <x:c r="F16" s="28" t="n">
        <x:f>'Statements'!F32/'Statements'!F24</x:f>
        <x:v>1.1851020273393646</x:v>
      </x:c>
      <x:c r="G16" s="28" t="n">
        <x:f>'Statements'!G32/'Statements'!G24</x:f>
        <x:v>1.102593543158179</x:v>
      </x:c>
      <x:c r="H16" s="28" t="n">
        <x:f>'Statements'!H32/'Statements'!H24</x:f>
        <x:v>0.8933314495620231</x:v>
      </x:c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1"/>
      <x:c r="B17" s="1"/>
      <x:c r="C17" s="1" t="str">
        <x:v>Dividend Coverage</x:v>
      </x:c>
      <x:c r="D17" s="28" t="n">
        <x:f>'Statements'!D29/'Data'!M37</x:f>
        <x:v>2.3723693629205442</x:v>
      </x:c>
      <x:c r="E17" s="28" t="n">
        <x:f>'Statements'!E29/'Data'!N37</x:f>
        <x:v>1.8763641032224934</x:v>
      </x:c>
      <x:c r="F17" s="28" t="n">
        <x:f>'Statements'!F29/'Data'!O37</x:f>
        <x:v>2.525587498508887</x:v>
      </x:c>
      <x:c r="G17" s="28" t="n">
        <x:f>'Statements'!G29/'Data'!P37</x:f>
        <x:v>2.2186135065516854</x:v>
      </x:c>
      <x:c r="H17" s="28" t="n">
        <x:f>'Statements'!H29/'Data'!Q37</x:f>
        <x:v>1.7837631118881119</x:v>
      </x:c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"/>
      <x:c r="B18" s="1"/>
      <x:c r="C18" s="1" t="str">
        <x:v>Capex / D&amp;A</x:v>
      </x:c>
      <x:c r="D18" s="28" t="n">
        <x:f>'Statements'!D31/'Data'!M29</x:f>
        <x:v>0.896575821104123</x:v>
      </x:c>
      <x:c r="E18" s="28" t="n">
        <x:f>'Statements'!E31/'Data'!N29</x:f>
        <x:v>1.11552217453505</x:v>
      </x:c>
      <x:c r="F18" s="28" t="n">
        <x:f>'Statements'!F31/'Data'!O29</x:f>
        <x:v>1.0539039529565501</x:v>
      </x:c>
      <x:c r="G18" s="28" t="n">
        <x:f>'Statements'!G31/'Data'!P29</x:f>
        <x:v>1.044664268585132</x:v>
      </x:c>
      <x:c r="H18" s="28" t="n">
        <x:f>'Statements'!H31/'Data'!Q29</x:f>
        <x:v>1.0469550369948777</x:v>
      </x:c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"/>
      <x:c r="B19" s="1"/>
      <x:c r="C19" s="1" t="str">
        <x:v>Net Operating Working Capital</x:v>
      </x:c>
      <x:c r="D19" s="14" t="n">
        <x:f>'Statements'!D37+'Statements'!D38-'Statements'!D42</x:f>
        <x:v>12032</x:v>
      </x:c>
      <x:c r="E19" s="14" t="n">
        <x:f>'Statements'!E37+'Statements'!E38-'Statements'!E42</x:f>
        <x:v>16760</x:v>
      </x:c>
      <x:c r="F19" s="14" t="n">
        <x:f>'Statements'!F37+'Statements'!F38-'Statements'!F42</x:f>
        <x:v>14267</x:v>
      </x:c>
      <x:c r="G19" s="14" t="n">
        <x:f>'Statements'!G37+'Statements'!G38-'Statements'!G42</x:f>
        <x:v>16416</x:v>
      </x:c>
      <x:c r="H19" s="14" t="n">
        <x:f>'Statements'!H37+'Statements'!H38-'Statements'!H42</x:f>
        <x:v>19923</x:v>
      </x:c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"/>
      <x:c r="B20" s="1"/>
      <x:c r="C20" s="1" t="str">
        <x:v>NOWC / Revenue</x:v>
      </x:c>
      <x:c r="D20" s="23" t="n">
        <x:f>D19/'Statements'!D9</x:f>
        <x:v>0.079599356959982</x:v>
      </x:c>
      <x:c r="E20" s="23" t="n">
        <x:f>E19/'Statements'!E9</x:f>
        <x:v>0.10647827550936131</x:v>
      </x:c>
      <x:c r="F20" s="23" t="n">
        <x:f>F19/'Statements'!F9</x:f>
        <x:v>0.09345053678218891</x:v>
      </x:c>
      <x:c r="G20" s="23" t="n">
        <x:f>G19/'Statements'!G9</x:f>
        <x:v>0.1029125970134283</x:v>
      </x:c>
      <x:c r="H20" s="23" t="n">
        <x:f>H19/'Statements'!H9</x:f>
        <x:v>0.1209778787124354</x:v>
      </x:c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/>
      <x:c r="B23" s="1"/>
      <x:c r="C23" s="9" t="str">
        <x:v>Operating-income attribution ($M)</x:v>
      </x:c>
      <x:c r="D23" s="10" t="n">
        <x:v>2022</x:v>
      </x:c>
      <x:c r="E23" s="10" t="n">
        <x:v>2023</x:v>
      </x:c>
      <x:c r="F23" s="10" t="n">
        <x:v>2024</x:v>
      </x:c>
      <x:c r="G23" s="11" t="n">
        <x:v>2025</x:v>
      </x:c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1" t="str">
        <x:v>Revenue effect at prior-year gross margin</x:v>
      </x:c>
      <x:c r="D24" s="14" t="n">
        <x:f>('Statements'!E9-'Statements'!D9)*'Statements'!D13</x:f>
        <x:v>2100.4430625111636</x:v>
      </x:c>
      <x:c r="E24" s="14" t="n">
        <x:f>('Statements'!F9-'Statements'!E9)*'Statements'!E13</x:f>
        <x:v>-1587.3334815727783</x:v>
      </x:c>
      <x:c r="F24" s="14" t="n">
        <x:f>('Statements'!G9-'Statements'!F9)*'Statements'!F13</x:f>
        <x:v>2284.8201010028233</x:v>
      </x:c>
      <x:c r="G24" s="14" t="n">
        <x:f>('Statements'!H9-'Statements'!G9)*'Statements'!G13</x:f>
        <x:v>1727.4286394924584</x:v>
      </x:c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 t="str">
        <x:v>Gross-margin rate effect</x:v>
      </x:c>
      <x:c r="D25" s="14" t="n">
        <x:f>'Statements'!E9*('Statements'!E13-'Statements'!D13)</x:f>
        <x:v>-154.44306251115609</x:v>
      </x:c>
      <x:c r="E25" s="14" t="n">
        <x:f>'Statements'!F9*('Statements'!F13-'Statements'!E13)</x:f>
        <x:v>-230.66651842722436</x:v>
      </x:c>
      <x:c r="F25" s="14" t="n">
        <x:f>'Statements'!G9*('Statements'!G13-'Statements'!F13)</x:f>
        <x:v>63.17989899717873</x:v>
      </x:c>
      <x:c r="G25" s="14" t="n">
        <x:f>'Statements'!H9*('Statements'!H13-'Statements'!G13)</x:f>
        <x:v>-170.4286394924628</x:v>
      </x:c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 t="str">
        <x:v>SG&amp;A change</x:v>
      </x:c>
      <x:c r="D26" s="14" t="n">
        <x:f>-('Statements'!E15-'Statements'!D15)</x:f>
        <x:v>-878</x:v>
      </x:c>
      <x:c r="E26" s="14" t="n">
        <x:f>-('Statements'!F15-'Statements'!E15)</x:f>
        <x:v>-314</x:v>
      </x:c>
      <x:c r="F26" s="14" t="n">
        <x:f>-('Statements'!G15-'Statements'!F15)</x:f>
        <x:v>-2150</x:v>
      </x:c>
      <x:c r="G26" s="14" t="n">
        <x:f>-('Statements'!H15-'Statements'!G15)</x:f>
        <x:v>-1954</x:v>
      </x:c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 t="str">
        <x:v>D&amp;A change</x:v>
      </x:c>
      <x:c r="D27" s="14" t="n">
        <x:f>-('Statements'!E17-'Statements'!D17)</x:f>
        <x:v>-69</x:v>
      </x:c>
      <x:c r="E27" s="14" t="n">
        <x:f>-('Statements'!F17-'Statements'!E17)</x:f>
        <x:v>-218</x:v>
      </x:c>
      <x:c r="F27" s="14" t="n">
        <x:f>-('Statements'!G17-'Statements'!F17)</x:f>
        <x:v>-361</x:v>
      </x:c>
      <x:c r="G27" s="14" t="n">
        <x:f>-('Statements'!H17-'Statements'!G17)</x:f>
        <x:v>-239</x:v>
      </x:c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39" t="str">
        <x:v>Explained operating-income change</x:v>
      </x:c>
      <x:c r="D28" s="40" t="n">
        <x:f>SUM(D24:D27)</x:f>
        <x:v>999.0000000000075</x:v>
      </x:c>
      <x:c r="E28" s="40" t="n">
        <x:f>SUM(E24:E27)</x:f>
        <x:v>-2350.0000000000027</x:v>
      </x:c>
      <x:c r="F28" s="40" t="n">
        <x:f>SUM(F24:F27)</x:f>
        <x:v>-162.99999999999773</x:v>
      </x:c>
      <x:c r="G28" s="40" t="n">
        <x:f>SUM(G24:G27)</x:f>
        <x:v>-636.0000000000043</x:v>
      </x:c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39" t="str">
        <x:v>Reported operating-income change</x:v>
      </x:c>
      <x:c r="D29" s="40" t="n">
        <x:f>'Statements'!E18-'Statements'!D18</x:f>
        <x:v>999</x:v>
      </x:c>
      <x:c r="E29" s="40" t="n">
        <x:f>'Statements'!F18-'Statements'!E18</x:f>
        <x:v>-2350</x:v>
      </x:c>
      <x:c r="F29" s="40" t="n">
        <x:f>'Statements'!G18-'Statements'!F18</x:f>
        <x:v>-163</x:v>
      </x:c>
      <x:c r="G29" s="40" t="n">
        <x:f>'Statements'!H18-'Statements'!G18</x:f>
        <x:v>-636</x:v>
      </x:c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39" t="str">
        <x:v>Unexplained difference</x:v>
      </x:c>
      <x:c r="D30" s="40" t="n">
        <x:f>D28-D29</x:f>
        <x:v>7.503331289626658e-12</x:v>
      </x:c>
      <x:c r="E30" s="40" t="n">
        <x:f>E28-E29</x:f>
        <x:v>-2.7284841053187847e-12</x:v>
      </x:c>
      <x:c r="F30" s="40" t="n">
        <x:f>F28-F29</x:f>
        <x:v>2.2737367544323206e-12</x:v>
      </x:c>
      <x:c r="G30" s="40" t="n">
        <x:f>G28-G29</x:f>
        <x:v>-4.320099833421409e-12</x:v>
      </x:c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9" t="str">
        <x:v>Acquisition-adjusted revenue ($M)</x:v>
      </x:c>
      <x:c r="D33" s="10" t="n">
        <x:v>2023</x:v>
      </x:c>
      <x:c r="E33" s="10" t="n">
        <x:v>2024</x:v>
      </x:c>
      <x:c r="F33" s="11" t="n">
        <x:v>2025</x:v>
      </x:c>
      <x:c r="G33" s="1"/>
      <x:c r="H33" s="9" t="str">
        <x:v>Product category revenue ($M)</x:v>
      </x:c>
      <x:c r="I33" s="10" t="n">
        <x:v>2023</x:v>
      </x:c>
      <x:c r="J33" s="10" t="n">
        <x:v>2024</x:v>
      </x:c>
      <x:c r="K33" s="11" t="n">
        <x:v>2025</x:v>
      </x:c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 t="str">
        <x:v>Primary segment revenue</x:v>
      </x:c>
      <x:c r="D34" s="14" t="n">
        <x:v>152669</x:v>
      </x:c>
      <x:c r="E34" s="14" t="n">
        <x:v>153108</x:v>
      </x:c>
      <x:c r="F34" s="14" t="n">
        <x:v>151966</x:v>
      </x:c>
      <x:c r="G34" s="1"/>
      <x:c r="H34" s="1" t="str">
        <x:v>Building Materials</x:v>
      </x:c>
      <x:c r="I34" s="14" t="n">
        <x:v>52572</x:v>
      </x:c>
      <x:c r="J34" s="14" t="n">
        <x:v>52862</x:v>
      </x:c>
      <x:c r="K34" s="14" t="n">
        <x:v>52439</x:v>
      </x:c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 t="str">
        <x:v>Other segment revenue</x:v>
      </x:c>
      <x:c r="D35" s="14" t="n">
        <x:v>0</x:v>
      </x:c>
      <x:c r="E35" s="14" t="n">
        <x:v>6406</x:v>
      </x:c>
      <x:c r="F35" s="14" t="n">
        <x:v>12717</x:v>
      </x:c>
      <x:c r="G35" s="1"/>
      <x:c r="H35" s="1" t="str">
        <x:v>Décor</x:v>
      </x:c>
      <x:c r="I35" s="14" t="n">
        <x:v>52750</x:v>
      </x:c>
      <x:c r="J35" s="14" t="n">
        <x:v>52525</x:v>
      </x:c>
      <x:c r="K35" s="14" t="n">
        <x:v>51679</x:v>
      </x:c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 t="str">
        <x:v>Total revenue</x:v>
      </x:c>
      <x:c r="D36" s="14" t="n">
        <x:v>152669</x:v>
      </x:c>
      <x:c r="E36" s="14" t="n">
        <x:v>159514</x:v>
      </x:c>
      <x:c r="F36" s="14" t="n">
        <x:v>164683</x:v>
      </x:c>
      <x:c r="G36" s="1"/>
      <x:c r="H36" s="1" t="str">
        <x:v>Hardlines</x:v>
      </x:c>
      <x:c r="I36" s="14" t="n">
        <x:v>47347</x:v>
      </x:c>
      <x:c r="J36" s="14" t="n">
        <x:v>47721</x:v>
      </x:c>
      <x:c r="K36" s="14" t="n">
        <x:v>47848</x:v>
      </x:c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 t="str">
        <x:v>Primary segment growth</x:v>
      </x:c>
      <x:c r="D37" s="23" t="str">
        <x:f>""</x:f>
      </x:c>
      <x:c r="E37" s="23" t="n">
        <x:f>E34/D34-1</x:f>
        <x:v>0.0028755019028092743</x:v>
      </x:c>
      <x:c r="F37" s="23" t="n">
        <x:f>F34/E34-1</x:f>
        <x:v>-0.007458787261279576</x:v>
      </x:c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 t="str">
        <x:v>Other segment contribution to annual growth</x:v>
      </x:c>
      <x:c r="D38" s="14" t="str">
        <x:f>""</x:f>
      </x:c>
      <x:c r="E38" s="14" t="n">
        <x:f>E35-D35</x:f>
        <x:v>6406</x:v>
      </x:c>
      <x:c r="F38" s="14" t="n">
        <x:f>F35-E35</x:f>
        <x:v>6311</x:v>
      </x:c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 t="str">
        <x:v>Primary segment contribution to annual growth</x:v>
      </x:c>
      <x:c r="D39" s="14" t="str">
        <x:f>""</x:f>
      </x:c>
      <x:c r="E39" s="14" t="n">
        <x:f>E34-D34</x:f>
        <x:v>439</x:v>
      </x:c>
      <x:c r="F39" s="14" t="n">
        <x:f>F34-E34</x:f>
        <x:v>-1142</x:v>
      </x:c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9" t="str">
        <x:v>Interpretive finding</x:v>
      </x:c>
      <x:c r="D42" s="10" t="str">
        <x:v>Evidence</x:v>
      </x:c>
      <x:c r="E42" s="10" t="str">
        <x:v>Implication</x:v>
      </x:c>
      <x:c r="F42" s="10" t="str">
        <x:v>Decision threshold</x:v>
      </x:c>
      <x:c r="G42" s="10"/>
      <x:c r="H42" s="10"/>
      <x:c r="I42" s="10"/>
      <x:c r="J42" s="10"/>
      <x:c r="K42" s="1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 ht="42" customHeight="1">
      <x:c r="A43" s="1"/>
      <x:c r="B43" s="1"/>
      <x:c r="C43" s="54" t="str">
        <x:v>Revenue quality</x:v>
      </x:c>
      <x:c r="D43" s="54" t="str">
        <x:v>FY2025 total revenue rose while primary segment revenue declined</x:v>
      </x:c>
      <x:c r="E43" s="54" t="str">
        <x:v>Acquired businesses were the main source of reported growth</x:v>
      </x:c>
      <x:c r="F43" s="54" t="str">
        <x:v>Require positive primary-segment growth before assuming broad demand recovery</x:v>
      </x:c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 ht="42" customHeight="1">
      <x:c r="A44" s="1"/>
      <x:c r="B44" s="1"/>
      <x:c r="C44" s="54" t="str">
        <x:v>Return efficiency</x:v>
      </x:c>
      <x:c r="D44" s="54" t="str">
        <x:v>ROIC declined as invested capital expanded</x:v>
      </x:c>
      <x:c r="E44" s="54" t="str">
        <x:v>Acquisitions and margin compression reduced capital productivity</x:v>
      </x:c>
      <x:c r="F44" s="54" t="str">
        <x:v>Monitor ROIC recovery relative to acquisition integration</x:v>
      </x:c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 ht="42" customHeight="1">
      <x:c r="A45" s="1"/>
      <x:c r="B45" s="1"/>
      <x:c r="C45" s="54" t="str">
        <x:v>Earnings quality</x:v>
      </x:c>
      <x:c r="D45" s="54" t="str">
        <x:v>CFO remained above net income but conversion declined</x:v>
      </x:c>
      <x:c r="E45" s="54" t="str">
        <x:v>Earnings remained cash-backed, with weaker working-capital support</x:v>
      </x:c>
      <x:c r="F45" s="54" t="str">
        <x:v>CFO / net income below 1.0x would be a warning</x:v>
      </x:c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 ht="42" customHeight="1">
      <x:c r="A46" s="1"/>
      <x:c r="B46" s="1"/>
      <x:c r="C46" s="54" t="str">
        <x:v>Profit bridge</x:v>
      </x:c>
      <x:c r="D46" s="54" t="str">
        <x:v>Higher SG&amp;A offset most gross-profit growth</x:v>
      </x:c>
      <x:c r="E46" s="54" t="str">
        <x:v>Cost absorption is the central margin issue</x:v>
      </x:c>
      <x:c r="F46" s="54" t="str">
        <x:v>Base thesis requires operating margin at or above 13%</x:v>
      </x:c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 ht="42" customHeight="1">
      <x:c r="A47" s="1"/>
      <x:c r="B47" s="1"/>
      <x:c r="C47" s="54" t="str">
        <x:v>Liquidity</x:v>
      </x:c>
      <x:c r="D47" s="54" t="str">
        <x:v>Inventory remains the dominant current asset</x:v>
      </x:c>
      <x:c r="E47" s="54" t="str">
        <x:v>Current ratio alone overstates immediate liquidity</x:v>
      </x:c>
      <x:c r="F47" s="54" t="str">
        <x:v>Track inventory days and payable days together</x:v>
      </x:c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</x:sheetData>
  <x:mergeCells>
    <x:mergeCell ref="C2:N2"/>
    <x:mergeCell ref="C4:N4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3" hidden="0" customWidth="1"/>
    <x:col min="3" max="3" width="30" hidden="0" customWidth="1"/>
    <x:col min="4" max="4" width="24" hidden="0" customWidth="1"/>
    <x:col min="5" max="5" width="24" hidden="0" customWidth="1"/>
    <x:col min="6" max="6" width="24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1"/>
      <x:c r="B2" s="1"/>
      <x:c r="C2" s="2" t="str">
        <x:v>Scenario outlook</x:v>
      </x:c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1"/>
      <x:c r="B3" s="1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1"/>
      <x:c r="B4" s="1"/>
      <x:c r="C4" s="4" t="str">
        <x:v>Scenario outputs are refreshed by running scripts/transform_financials.py. The active Statements forecast uses the selector on Assumptions.</x:v>
      </x:c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1"/>
      <x:c r="B6" s="1"/>
      <x:c r="C6" s="9" t="str">
        <x:v>Metric</x:v>
      </x:c>
      <x:c r="D6" s="10" t="str">
        <x:v>Downside</x:v>
      </x:c>
      <x:c r="E6" s="10" t="str">
        <x:v>Base</x:v>
      </x:c>
      <x:c r="F6" s="11" t="str">
        <x:v>Upside</x:v>
      </x:c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1"/>
      <x:c r="B7" s="1"/>
      <x:c r="C7" s="20" t="str">
        <x:v>2026 outlook</x:v>
      </x:c>
      <x:c r="D7" s="34"/>
      <x:c r="E7" s="49"/>
      <x:c r="F7" s="35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1"/>
      <x:c r="B8" s="1"/>
      <x:c r="C8" s="1" t="str">
        <x:v>Revenue</x:v>
      </x:c>
      <x:c r="D8" s="14" t="n">
        <x:v>164683</x:v>
      </x:c>
      <x:c r="E8" s="46" t="n">
        <x:v>168800.1</x:v>
      </x:c>
      <x:c r="F8" s="14" t="n">
        <x:v>172917.1</x:v>
      </x:c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1"/>
      <x:c r="B9" s="1"/>
      <x:c r="C9" s="1" t="str">
        <x:v>Operating Income</x:v>
      </x:c>
      <x:c r="D9" s="14" t="n">
        <x:v>19762</x:v>
      </x:c>
      <x:c r="E9" s="46" t="n">
        <x:v>21606.4</x:v>
      </x:c>
      <x:c r="F9" s="14" t="n">
        <x:v>23343.8</x:v>
      </x:c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1"/>
      <x:c r="B10" s="1"/>
      <x:c r="C10" s="1" t="str">
        <x:v>Net Income</x:v>
      </x:c>
      <x:c r="D10" s="14" t="n">
        <x:v>13203.2</x:v>
      </x:c>
      <x:c r="E10" s="46" t="n">
        <x:v>14606.8</x:v>
      </x:c>
      <x:c r="F10" s="14" t="n">
        <x:v>15929</x:v>
      </x:c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1"/>
      <x:c r="B11" s="1"/>
      <x:c r="C11" s="1" t="str">
        <x:v>Operating Cash Flow</x:v>
      </x:c>
      <x:c r="D11" s="14" t="n">
        <x:v>13863.4</x:v>
      </x:c>
      <x:c r="E11" s="46" t="n">
        <x:v>16359.6</x:v>
      </x:c>
      <x:c r="F11" s="14" t="n">
        <x:v>18796.2</x:v>
      </x:c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1"/>
      <x:c r="B12" s="1"/>
      <x:c r="C12" s="1"/>
      <x:c r="D12" s="14"/>
      <x:c r="E12" s="46"/>
      <x:c r="F12" s="14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1"/>
      <x:c r="B13" s="1"/>
      <x:c r="C13" s="20" t="str">
        <x:v>2027 outlook</x:v>
      </x:c>
      <x:c r="D13" s="34"/>
      <x:c r="E13" s="49"/>
      <x:c r="F13" s="35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1"/>
      <x:c r="B14" s="1"/>
      <x:c r="C14" s="1" t="str">
        <x:v>Revenue</x:v>
      </x:c>
      <x:c r="D14" s="14" t="n">
        <x:v>166329.8</x:v>
      </x:c>
      <x:c r="E14" s="46" t="n">
        <x:v>173864.1</x:v>
      </x:c>
      <x:c r="F14" s="14" t="n">
        <x:v>182427.6</x:v>
      </x:c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1"/>
      <x:c r="B15" s="1"/>
      <x:c r="C15" s="1" t="str">
        <x:v>Operating Income</x:v>
      </x:c>
      <x:c r="D15" s="14" t="n">
        <x:v>20292.2</x:v>
      </x:c>
      <x:c r="E15" s="46" t="n">
        <x:v>22602.3</x:v>
      </x:c>
      <x:c r="F15" s="14" t="n">
        <x:v>25357.4</x:v>
      </x:c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1"/>
      <x:c r="B16" s="1"/>
      <x:c r="C16" s="1" t="str">
        <x:v>Net Income</x:v>
      </x:c>
      <x:c r="D16" s="14" t="n">
        <x:v>13606.7</x:v>
      </x:c>
      <x:c r="E16" s="46" t="n">
        <x:v>15364.7</x:v>
      </x:c>
      <x:c r="F16" s="14" t="n">
        <x:v>17461.3</x:v>
      </x:c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1"/>
      <x:c r="B17" s="1"/>
      <x:c r="C17" s="1" t="str">
        <x:v>Operating Cash Flow</x:v>
      </x:c>
      <x:c r="D17" s="14" t="n">
        <x:v>14695.3</x:v>
      </x:c>
      <x:c r="E17" s="46" t="n">
        <x:v>17669.4</x:v>
      </x:c>
      <x:c r="F17" s="14" t="n">
        <x:v>20953.6</x:v>
      </x:c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"/>
      <x:c r="B18" s="1"/>
      <x:c r="C18" s="1"/>
      <x:c r="D18" s="14"/>
      <x:c r="E18" s="46"/>
      <x:c r="F18" s="14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"/>
      <x:c r="B19" s="1"/>
      <x:c r="C19" s="20" t="str">
        <x:v>2028 outlook</x:v>
      </x:c>
      <x:c r="D19" s="34"/>
      <x:c r="E19" s="49"/>
      <x:c r="F19" s="35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"/>
      <x:c r="B20" s="1"/>
      <x:c r="C20" s="1" t="str">
        <x:v>Revenue</x:v>
      </x:c>
      <x:c r="D20" s="14" t="n">
        <x:v>169656.4</x:v>
      </x:c>
      <x:c r="E20" s="46" t="n">
        <x:v>179949.3</x:v>
      </x:c>
      <x:c r="F20" s="14" t="n">
        <x:v>191549</x:v>
      </x:c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"/>
      <x:c r="B21" s="1"/>
      <x:c r="C21" s="1" t="str">
        <x:v>Operating Income</x:v>
      </x:c>
      <x:c r="D21" s="14" t="n">
        <x:v>21037.4</x:v>
      </x:c>
      <x:c r="E21" s="46" t="n">
        <x:v>23753.3</x:v>
      </x:c>
      <x:c r="F21" s="14" t="n">
        <x:v>27200</x:v>
      </x:c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/>
      <x:c r="B22" s="1"/>
      <x:c r="C22" s="1" t="str">
        <x:v>Net Income</x:v>
      </x:c>
      <x:c r="D22" s="14" t="n">
        <x:v>14173.8</x:v>
      </x:c>
      <x:c r="E22" s="46" t="n">
        <x:v>16240.6</x:v>
      </x:c>
      <x:c r="F22" s="14" t="n">
        <x:v>18863.5</x:v>
      </x:c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/>
      <x:c r="B23" s="1"/>
      <x:c r="C23" s="1" t="str">
        <x:v>Operating Cash Flow</x:v>
      </x:c>
      <x:c r="D23" s="14" t="n">
        <x:v>15591.2</x:v>
      </x:c>
      <x:c r="E23" s="46" t="n">
        <x:v>19001.5</x:v>
      </x:c>
      <x:c r="F23" s="14" t="n">
        <x:v>23013.4</x:v>
      </x:c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1"/>
      <x:c r="D24" s="14"/>
      <x:c r="E24" s="46"/>
      <x:c r="F24" s="14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/>
      <x:c r="D25" s="14"/>
      <x:c r="E25" s="46"/>
      <x:c r="F25" s="14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4"/>
      <x:c r="E26" s="46"/>
      <x:c r="F26" s="14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4"/>
      <x:c r="E27" s="46"/>
      <x:c r="F27" s="14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4"/>
      <x:c r="E28" s="46"/>
      <x:c r="F28" s="14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9" t="str">
        <x:v>Interpretation</x:v>
      </x:c>
      <x:c r="D29" s="59" t="str">
        <x:v>Downside</x:v>
      </x:c>
      <x:c r="E29" s="59" t="str">
        <x:v>Base</x:v>
      </x:c>
      <x:c r="F29" s="60" t="str">
        <x:v>Upside</x:v>
      </x:c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53" t="str">
        <x:v>Demand</x:v>
      </x:c>
      <x:c r="D30" s="61" t="str">
        <x:v>Flat near-term sales</x:v>
      </x:c>
      <x:c r="E30" s="62" t="str">
        <x:v>Low-single-digit growth</x:v>
      </x:c>
      <x:c r="F30" s="61" t="str">
        <x:v>Pro demand and housing recovery</x:v>
      </x:c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53" t="str">
        <x:v>Margins</x:v>
      </x:c>
      <x:c r="D31" s="53" t="str">
        <x:v>Limited gross-margin recovery</x:v>
      </x:c>
      <x:c r="E31" s="53" t="str">
        <x:v>Gradual operating leverage</x:v>
      </x:c>
      <x:c r="F31" s="53" t="str">
        <x:v>Faster mix and productivity gains</x:v>
      </x:c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53" t="str">
        <x:v>Cash</x:v>
      </x:c>
      <x:c r="D32" s="53" t="str">
        <x:v>CFO conversion stays near 1.1x</x:v>
      </x:c>
      <x:c r="E32" s="53" t="str">
        <x:v>Healthy conversion funds capex/dividends</x:v>
      </x:c>
      <x:c r="F32" s="53" t="str">
        <x:v>Stronger earnings and conversion</x:v>
      </x:c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53" t="str">
        <x:v>Key risk</x:v>
      </x:c>
      <x:c r="D33" s="53" t="str">
        <x:v>High rates and weak big-ticket demand</x:v>
      </x:c>
      <x:c r="E33" s="53" t="str">
        <x:v>Execution on acquired businesses</x:v>
      </x:c>
      <x:c r="F33" s="53" t="str">
        <x:v>Upside requires macro improvement</x:v>
      </x:c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</x:sheetData>
  <x:mergeCells>
    <x:mergeCell ref="C2:N2"/>
    <x:mergeCell ref="C4:N4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3" hidden="0" customWidth="1"/>
    <x:col min="3" max="3" width="34" hidden="0" customWidth="1"/>
    <x:col min="4" max="4" width="30" hidden="0" customWidth="1"/>
    <x:col min="5" max="5" width="27" hidden="0" customWidth="1"/>
    <x:col min="6" max="6" width="23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1"/>
      <x:c r="B2" s="1"/>
      <x:c r="C2" s="2" t="str">
        <x:v>Sensitivity analysis</x:v>
      </x:c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1"/>
      <x:c r="B3" s="1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1"/>
      <x:c r="B4" s="1"/>
      <x:c r="C4" s="4" t="str">
        <x:v>FY2028 operating income under alternative revenue CAGR and operating-margin assumptions.</x:v>
      </x:c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1"/>
      <x:c r="B6" s="1"/>
      <x:c r="C6" s="9" t="str">
        <x:v>Reference input</x:v>
      </x:c>
      <x:c r="D6" s="11" t="str">
        <x:v>Value</x:v>
      </x:c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1"/>
      <x:c r="B7" s="1"/>
      <x:c r="C7" s="1" t="str">
        <x:v>FY2025 Revenue</x:v>
      </x:c>
      <x:c r="D7" s="14" t="n">
        <x:f>'Statements'!H9</x:f>
        <x:v>164683</x:v>
      </x:c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1"/>
      <x:c r="B8" s="1"/>
      <x:c r="C8" s="1" t="str">
        <x:v>Base FY2028 Revenue</x:v>
      </x:c>
      <x:c r="D8" s="14" t="n">
        <x:f>'Statements'!K9</x:f>
        <x:v>179949.31995374995</x:v>
      </x:c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1"/>
      <x:c r="B9" s="1"/>
      <x:c r="C9" s="1" t="str">
        <x:v>Base FY2028 Operating Income</x:v>
      </x:c>
      <x:c r="D9" s="14" t="n">
        <x:f>'Statements'!K18</x:f>
        <x:v>23753.310233894994</x:v>
      </x:c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1"/>
      <x:c r="B12" s="1"/>
      <x:c r="C12" s="9" t="str">
        <x:v>3-year Revenue CAGR / Operating Margin</x:v>
      </x:c>
      <x:c r="D12" s="63" t="n">
        <x:v>0.1</x:v>
      </x:c>
      <x:c r="E12" s="63" t="n">
        <x:v>0.11</x:v>
      </x:c>
      <x:c r="F12" s="63" t="n">
        <x:v>0.12</x:v>
      </x:c>
      <x:c r="G12" s="63" t="n">
        <x:v>0.13</x:v>
      </x:c>
      <x:c r="H12" s="63" t="n">
        <x:v>0.14</x:v>
      </x:c>
      <x:c r="I12" s="63" t="n">
        <x:v>0.15</x:v>
      </x:c>
      <x:c r="J12" s="64" t="n">
        <x:v>0.16</x:v>
      </x:c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1"/>
      <x:c r="B13" s="1"/>
      <x:c r="C13" s="23" t="n">
        <x:v>0</x:v>
      </x:c>
      <x:c r="D13" s="14" t="n">
        <x:f>$D$7*(1+$C13)^3*D$12</x:f>
        <x:v>16468.3</x:v>
      </x:c>
      <x:c r="E13" s="14" t="n">
        <x:f>$D$7*(1+$C13)^3*E$12</x:f>
        <x:v>18115.13</x:v>
      </x:c>
      <x:c r="F13" s="14" t="n">
        <x:f>$D$7*(1+$C13)^3*F$12</x:f>
        <x:v>19761.96</x:v>
      </x:c>
      <x:c r="G13" s="14" t="n">
        <x:f>$D$7*(1+$C13)^3*G$12</x:f>
        <x:v>21408.79</x:v>
      </x:c>
      <x:c r="H13" s="14" t="n">
        <x:f>$D$7*(1+$C13)^3*H$12</x:f>
        <x:v>23055.620000000003</x:v>
      </x:c>
      <x:c r="I13" s="14" t="n">
        <x:f>$D$7*(1+$C13)^3*I$12</x:f>
        <x:v>24702.45</x:v>
      </x:c>
      <x:c r="J13" s="14" t="n">
        <x:f>$D$7*(1+$C13)^3*J$12</x:f>
        <x:v>26349.28</x:v>
      </x:c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1"/>
      <x:c r="B14" s="1"/>
      <x:c r="C14" s="23" t="n">
        <x:v>0.01</x:v>
      </x:c>
      <x:c r="D14" s="14" t="n">
        <x:f>$D$7*(1+$C14)^3*D$12</x:f>
        <x:v>16967.305958300003</x:v>
      </x:c>
      <x:c r="E14" s="14" t="n">
        <x:f>$D$7*(1+$C14)^3*E$12</x:f>
        <x:v>18664.03655413</x:v>
      </x:c>
      <x:c r="F14" s="14" t="n">
        <x:f>$D$7*(1+$C14)^3*F$12</x:f>
        <x:v>20360.767149960004</x:v>
      </x:c>
      <x:c r="G14" s="14" t="n">
        <x:f>$D$7*(1+$C14)^3*G$12</x:f>
        <x:v>22057.497745790002</x:v>
      </x:c>
      <x:c r="H14" s="14" t="n">
        <x:f>$D$7*(1+$C14)^3*H$12</x:f>
        <x:v>23754.228341620004</x:v>
      </x:c>
      <x:c r="I14" s="14" t="n">
        <x:f>$D$7*(1+$C14)^3*I$12</x:f>
        <x:v>25450.958937450003</x:v>
      </x:c>
      <x:c r="J14" s="14" t="n">
        <x:f>$D$7*(1+$C14)^3*J$12</x:f>
        <x:v>27147.689533280005</x:v>
      </x:c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1"/>
      <x:c r="B15" s="1"/>
      <x:c r="C15" s="23" t="n">
        <x:v>0.02</x:v>
      </x:c>
      <x:c r="D15" s="14" t="n">
        <x:f>$D$7*(1+$C15)^3*D$12</x:f>
        <x:v>17476.291706400003</x:v>
      </x:c>
      <x:c r="E15" s="14" t="n">
        <x:f>$D$7*(1+$C15)^3*E$12</x:f>
        <x:v>19223.920877040004</x:v>
      </x:c>
      <x:c r="F15" s="14" t="n">
        <x:f>$D$7*(1+$C15)^3*F$12</x:f>
        <x:v>20971.550047680004</x:v>
      </x:c>
      <x:c r="G15" s="14" t="n">
        <x:f>$D$7*(1+$C15)^3*G$12</x:f>
        <x:v>22719.179218320005</x:v>
      </x:c>
      <x:c r="H15" s="14" t="n">
        <x:f>$D$7*(1+$C15)^3*H$12</x:f>
        <x:v>24466.80838896001</x:v>
      </x:c>
      <x:c r="I15" s="14" t="n">
        <x:f>$D$7*(1+$C15)^3*I$12</x:f>
        <x:v>26214.437559600006</x:v>
      </x:c>
      <x:c r="J15" s="14" t="n">
        <x:f>$D$7*(1+$C15)^3*J$12</x:f>
        <x:v>27962.066730240007</x:v>
      </x:c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1"/>
      <x:c r="B16" s="1"/>
      <x:c r="C16" s="23" t="n">
        <x:v>0.03</x:v>
      </x:c>
      <x:c r="D16" s="14" t="n">
        <x:f>$D$7*(1+$C16)^3*D$12</x:f>
        <x:v>17995.3560541</x:v>
      </x:c>
      <x:c r="E16" s="14" t="n">
        <x:f>$D$7*(1+$C16)^3*E$12</x:f>
        <x:v>19794.89165951</x:v>
      </x:c>
      <x:c r="F16" s="14" t="n">
        <x:f>$D$7*(1+$C16)^3*F$12</x:f>
        <x:v>21594.42726492</x:v>
      </x:c>
      <x:c r="G16" s="14" t="n">
        <x:f>$D$7*(1+$C16)^3*G$12</x:f>
        <x:v>23393.962870330004</x:v>
      </x:c>
      <x:c r="H16" s="14" t="n">
        <x:f>$D$7*(1+$C16)^3*H$12</x:f>
        <x:v>25193.498475740005</x:v>
      </x:c>
      <x:c r="I16" s="14" t="n">
        <x:f>$D$7*(1+$C16)^3*I$12</x:f>
        <x:v>26993.034081150003</x:v>
      </x:c>
      <x:c r="J16" s="14" t="n">
        <x:f>$D$7*(1+$C16)^3*J$12</x:f>
        <x:v>28792.569686560004</x:v>
      </x:c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1"/>
      <x:c r="B17" s="1"/>
      <x:c r="C17" s="23" t="n">
        <x:v>0.04</x:v>
      </x:c>
      <x:c r="D17" s="14" t="n">
        <x:f>$D$7*(1+$C17)^3*D$12</x:f>
        <x:v>18524.5978112</x:v>
      </x:c>
      <x:c r="E17" s="14" t="n">
        <x:f>$D$7*(1+$C17)^3*E$12</x:f>
        <x:v>20377.05759232</x:v>
      </x:c>
      <x:c r="F17" s="14" t="n">
        <x:f>$D$7*(1+$C17)^3*F$12</x:f>
        <x:v>22229.51737344</x:v>
      </x:c>
      <x:c r="G17" s="14" t="n">
        <x:f>$D$7*(1+$C17)^3*G$12</x:f>
        <x:v>24081.97715456</x:v>
      </x:c>
      <x:c r="H17" s="14" t="n">
        <x:f>$D$7*(1+$C17)^3*H$12</x:f>
        <x:v>25934.436935680005</x:v>
      </x:c>
      <x:c r="I17" s="14" t="n">
        <x:f>$D$7*(1+$C17)^3*I$12</x:f>
        <x:v>27786.8967168</x:v>
      </x:c>
      <x:c r="J17" s="14" t="n">
        <x:f>$D$7*(1+$C17)^3*J$12</x:f>
        <x:v>29639.356497920002</x:v>
      </x:c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"/>
      <x:c r="B18" s="1"/>
      <x:c r="C18" s="23" t="n">
        <x:v>0.05</x:v>
      </x:c>
      <x:c r="D18" s="14" t="n">
        <x:f>$D$7*(1+$C18)^3*D$12</x:f>
        <x:v>19064.115787500003</x:v>
      </x:c>
      <x:c r="E18" s="14" t="n">
        <x:f>$D$7*(1+$C18)^3*E$12</x:f>
        <x:v>20970.527366250004</x:v>
      </x:c>
      <x:c r="F18" s="14" t="n">
        <x:f>$D$7*(1+$C18)^3*F$12</x:f>
        <x:v>22876.938945</x:v>
      </x:c>
      <x:c r="G18" s="14" t="n">
        <x:f>$D$7*(1+$C18)^3*G$12</x:f>
        <x:v>24783.350523750007</x:v>
      </x:c>
      <x:c r="H18" s="14" t="n">
        <x:f>$D$7*(1+$C18)^3*H$12</x:f>
        <x:v>26689.762102500008</x:v>
      </x:c>
      <x:c r="I18" s="14" t="n">
        <x:f>$D$7*(1+$C18)^3*I$12</x:f>
        <x:v>28596.173681250006</x:v>
      </x:c>
      <x:c r="J18" s="14" t="n">
        <x:f>$D$7*(1+$C18)^3*J$12</x:f>
        <x:v>30502.585260000007</x:v>
      </x:c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"/>
      <x:c r="B19" s="1"/>
      <x:c r="C19" s="23" t="n">
        <x:v>0.06</x:v>
      </x:c>
      <x:c r="D19" s="14" t="n">
        <x:f>$D$7*(1+$C19)^3*D$12</x:f>
        <x:v>19614.008792800003</x:v>
      </x:c>
      <x:c r="E19" s="14" t="n">
        <x:f>$D$7*(1+$C19)^3*E$12</x:f>
        <x:v>21575.409672080004</x:v>
      </x:c>
      <x:c r="F19" s="14" t="n">
        <x:f>$D$7*(1+$C19)^3*F$12</x:f>
        <x:v>23536.810551360002</x:v>
      </x:c>
      <x:c r="G19" s="14" t="n">
        <x:f>$D$7*(1+$C19)^3*G$12</x:f>
        <x:v>25498.211430640004</x:v>
      </x:c>
      <x:c r="H19" s="14" t="n">
        <x:f>$D$7*(1+$C19)^3*H$12</x:f>
        <x:v>27459.612309920005</x:v>
      </x:c>
      <x:c r="I19" s="14" t="n">
        <x:f>$D$7*(1+$C19)^3*I$12</x:f>
        <x:v>29421.013189200003</x:v>
      </x:c>
      <x:c r="J19" s="14" t="n">
        <x:f>$D$7*(1+$C19)^3*J$12</x:f>
        <x:v>31382.414068480004</x:v>
      </x:c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/>
      <x:c r="B22" s="1"/>
      <x:c r="C22" s="9" t="str">
        <x:v>Decision framework</x:v>
      </x:c>
      <x:c r="D22" s="10" t="str">
        <x:v>Trigger</x:v>
      </x:c>
      <x:c r="E22" s="10" t="str">
        <x:v>Interpretation</x:v>
      </x:c>
      <x:c r="F22" s="11" t="str">
        <x:v>Response</x:v>
      </x:c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 ht="44" customHeight="1">
      <x:c r="A23" s="1"/>
      <x:c r="B23" s="1"/>
      <x:c r="C23" s="53" t="str">
        <x:v>Upside confirmation</x:v>
      </x:c>
      <x:c r="D23" s="53" t="str">
        <x:v>Primary-segment growth turns positive and operating margin exceeds 13%</x:v>
      </x:c>
      <x:c r="E23" s="53" t="str">
        <x:v>Demand and integration improve together</x:v>
      </x:c>
      <x:c r="F23" s="53" t="str">
        <x:v>Revisit the upside case</x:v>
      </x:c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 ht="44" customHeight="1">
      <x:c r="A24" s="1"/>
      <x:c r="B24" s="1"/>
      <x:c r="C24" s="53" t="str">
        <x:v>Base case intact</x:v>
      </x:c>
      <x:c r="D24" s="53" t="str">
        <x:v>Revenue grows 2%–4%, margin reaches 12.8%–13.2%, CFO conversion exceeds 1.1x</x:v>
      </x:c>
      <x:c r="E24" s="53" t="str">
        <x:v>Cash generation supports capex and dividends</x:v>
      </x:c>
      <x:c r="F24" s="53" t="str">
        <x:v>Maintain neutral stance</x:v>
      </x:c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 ht="44" customHeight="1">
      <x:c r="A25" s="1"/>
      <x:c r="B25" s="1"/>
      <x:c r="C25" s="53" t="str">
        <x:v>Downside warning</x:v>
      </x:c>
      <x:c r="D25" s="53" t="str">
        <x:v>CFO conversion falls below 1.0x or inventory days rise with flat sales</x:v>
      </x:c>
      <x:c r="E25" s="53" t="str">
        <x:v>Working capital weakens earnings quality</x:v>
      </x:c>
      <x:c r="F25" s="53" t="str">
        <x:v>Reduce forecast assumptions</x:v>
      </x:c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 ht="44" customHeight="1">
      <x:c r="A26" s="1"/>
      <x:c r="B26" s="1"/>
      <x:c r="C26" s="53" t="str">
        <x:v>Capital-efficiency warning</x:v>
      </x:c>
      <x:c r="D26" s="53" t="str">
        <x:v>ROIC continues falling despite acquisition integration</x:v>
      </x:c>
      <x:c r="E26" s="53" t="str">
        <x:v>Incremental invested capital is not earning an adequate return</x:v>
      </x:c>
      <x:c r="F26" s="53" t="str">
        <x:v>Require a lower reinvestment case</x:v>
      </x:c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</x:sheetData>
  <x:mergeCells>
    <x:mergeCell ref="C2:N2"/>
    <x:mergeCell ref="C4:N4"/>
  </x:mergeCells>
  <x:conditionalFormatting sqref="D13:J19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D9C7A5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3" max="3" width="23" hidden="0" customWidth="1"/>
    <x:col min="4" max="4" width="9" hidden="0" customWidth="1"/>
    <x:col min="5" max="5" width="13" hidden="0" customWidth="1"/>
    <x:col min="6" max="6" width="13" hidden="0" customWidth="1"/>
    <x:col min="7" max="7" width="18" hidden="0" customWidth="1"/>
    <x:col min="8" max="8" width="34" hidden="0" customWidth="1"/>
    <x:col min="9" max="9" width="18" hidden="0" customWidth="1"/>
    <x:col min="10" max="10" width="42" hidden="0" customWidth="1"/>
    <x:col min="12" max="12" width="38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52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1"/>
      <x:c r="B2" s="1"/>
      <x:c r="C2" s="2" t="str">
        <x:v>Source financial data</x:v>
      </x:c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1"/>
      <x:c r="B3" s="1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1"/>
      <x:c r="B4" s="1"/>
      <x:c r="C4" s="4" t="str">
        <x:v>USD millions. Fiscal years follow Home Depot's 52/53-week calendar.</x:v>
      </x:c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9" t="str">
        <x:v>Line Item</x:v>
      </x:c>
      <x:c r="M5" s="10" t="n">
        <x:v>2021</x:v>
      </x:c>
      <x:c r="N5" s="10" t="n">
        <x:v>2022</x:v>
      </x:c>
      <x:c r="O5" s="10" t="n">
        <x:v>2023</x:v>
      </x:c>
      <x:c r="P5" s="10" t="n">
        <x:v>2024</x:v>
      </x:c>
      <x:c r="Q5" s="10" t="n">
        <x:v>2025</x:v>
      </x:c>
      <x:c r="R5" s="11" t="str">
        <x:v>Source URL</x:v>
      </x:c>
      <x:c r="S5" s="1"/>
      <x:c r="T5" s="1"/>
      <x:c r="U5" s="1"/>
      <x:c r="V5" s="1"/>
      <x:c r="W5" s="1"/>
      <x:c r="X5" s="1"/>
      <x:c r="Y5" s="1"/>
      <x:c r="Z5" s="1"/>
    </x:row>
    <x:row r="6">
      <x:c r="A6" s="1"/>
      <x:c r="B6" s="1"/>
      <x:c r="C6" s="9" t="str">
        <x:v>Company</x:v>
      </x:c>
      <x:c r="D6" s="10" t="str">
        <x:v>Ticker</x:v>
      </x:c>
      <x:c r="E6" s="10" t="str">
        <x:v>Fiscal Year</x:v>
      </x:c>
      <x:c r="F6" s="10" t="str">
        <x:v>Fiscal Year End</x:v>
      </x:c>
      <x:c r="G6" s="10" t="str">
        <x:v>Statement</x:v>
      </x:c>
      <x:c r="H6" s="10" t="str">
        <x:v>Line Item</x:v>
      </x:c>
      <x:c r="I6" s="10" t="str">
        <x:v>Value USD millions</x:v>
      </x:c>
      <x:c r="J6" s="11" t="str">
        <x:v>Source</x:v>
      </x:c>
      <x:c r="K6" s="1"/>
      <x:c r="L6" s="1" t="str">
        <x:v>Revenue</x:v>
      </x:c>
      <x:c r="M6" s="14" t="n">
        <x:v>151157</x:v>
      </x:c>
      <x:c r="N6" s="14" t="n">
        <x:v>157403</x:v>
      </x:c>
      <x:c r="O6" s="14" t="n">
        <x:v>152669</x:v>
      </x:c>
      <x:c r="P6" s="14" t="n">
        <x:v>159514</x:v>
      </x:c>
      <x:c r="Q6" s="14" t="n">
        <x:v>164683</x:v>
      </x:c>
      <x:c r="R6" s="1" t="str">
        <x:v>https://www.sec.gov/Archives/edgar/data/354950/000162828026019436/hd-20260201.htm</x:v>
      </x:c>
      <x:c r="S6" s="1"/>
      <x:c r="T6" s="1"/>
      <x:c r="U6" s="1"/>
      <x:c r="V6" s="1"/>
      <x:c r="W6" s="1"/>
      <x:c r="X6" s="1"/>
      <x:c r="Y6" s="1"/>
      <x:c r="Z6" s="1"/>
    </x:row>
    <x:row r="7">
      <x:c r="A7" s="1"/>
      <x:c r="B7" s="1"/>
      <x:c r="C7" s="1" t="str">
        <x:v>The Home Depot, Inc.</x:v>
      </x:c>
      <x:c r="D7" s="1" t="str">
        <x:v>HD</x:v>
      </x:c>
      <x:c r="E7" s="1" t="n">
        <x:v>2021</x:v>
      </x:c>
      <x:c r="F7" s="12" t="n">
        <x:v>44591</x:v>
      </x:c>
      <x:c r="G7" s="1" t="str">
        <x:v>Income Statement</x:v>
      </x:c>
      <x:c r="H7" s="1" t="str">
        <x:v>Revenue</x:v>
      </x:c>
      <x:c r="I7" s="14" t="n">
        <x:v>151157</x:v>
      </x:c>
      <x:c r="J7" s="1" t="str">
        <x:v>SEC Company Facts comparative 10-K data</x:v>
      </x:c>
      <x:c r="K7" s="1"/>
      <x:c r="L7" s="1" t="str">
        <x:v>Cost of Sales</x:v>
      </x:c>
      <x:c r="M7" s="14" t="n">
        <x:v>100325</x:v>
      </x:c>
      <x:c r="N7" s="14" t="n">
        <x:v>104625</x:v>
      </x:c>
      <x:c r="O7" s="14" t="n">
        <x:v>101709</x:v>
      </x:c>
      <x:c r="P7" s="14" t="n">
        <x:v>106206</x:v>
      </x:c>
      <x:c r="Q7" s="14" t="n">
        <x:v>109818</x:v>
      </x:c>
      <x:c r="R7" s="1" t="str">
        <x:v>https://www.sec.gov/Archives/edgar/data/354950/000162828026019436/hd-20260201.htm</x:v>
      </x:c>
      <x:c r="S7" s="1"/>
      <x:c r="T7" s="1"/>
      <x:c r="U7" s="1"/>
      <x:c r="V7" s="1"/>
      <x:c r="W7" s="1"/>
      <x:c r="X7" s="1"/>
      <x:c r="Y7" s="1"/>
      <x:c r="Z7" s="1"/>
    </x:row>
    <x:row r="8">
      <x:c r="A8" s="1"/>
      <x:c r="B8" s="1"/>
      <x:c r="C8" s="1" t="str">
        <x:v>The Home Depot, Inc.</x:v>
      </x:c>
      <x:c r="D8" s="1" t="str">
        <x:v>HD</x:v>
      </x:c>
      <x:c r="E8" s="1" t="n">
        <x:v>2021</x:v>
      </x:c>
      <x:c r="F8" s="12" t="n">
        <x:v>44591</x:v>
      </x:c>
      <x:c r="G8" s="1" t="str">
        <x:v>Income Statement</x:v>
      </x:c>
      <x:c r="H8" s="1" t="str">
        <x:v>Cost of Sales</x:v>
      </x:c>
      <x:c r="I8" s="14" t="n">
        <x:v>100325</x:v>
      </x:c>
      <x:c r="J8" s="1" t="str">
        <x:v>SEC Company Facts comparative 10-K data</x:v>
      </x:c>
      <x:c r="K8" s="1"/>
      <x:c r="L8" s="1" t="str">
        <x:v>Gross Profit</x:v>
      </x:c>
      <x:c r="M8" s="14" t="n">
        <x:v>50832</x:v>
      </x:c>
      <x:c r="N8" s="14" t="n">
        <x:v>52778</x:v>
      </x:c>
      <x:c r="O8" s="14" t="n">
        <x:v>50960</x:v>
      </x:c>
      <x:c r="P8" s="14" t="n">
        <x:v>53308</x:v>
      </x:c>
      <x:c r="Q8" s="14" t="n">
        <x:v>54865</x:v>
      </x:c>
      <x:c r="R8" s="1" t="str">
        <x:v>https://www.sec.gov/Archives/edgar/data/354950/000162828026019436/hd-20260201.htm</x:v>
      </x:c>
      <x:c r="S8" s="1"/>
      <x:c r="T8" s="1"/>
      <x:c r="U8" s="1"/>
      <x:c r="V8" s="1"/>
      <x:c r="W8" s="1"/>
      <x:c r="X8" s="1"/>
      <x:c r="Y8" s="1"/>
      <x:c r="Z8" s="1"/>
    </x:row>
    <x:row r="9">
      <x:c r="A9" s="1"/>
      <x:c r="B9" s="1"/>
      <x:c r="C9" s="1" t="str">
        <x:v>The Home Depot, Inc.</x:v>
      </x:c>
      <x:c r="D9" s="1" t="str">
        <x:v>HD</x:v>
      </x:c>
      <x:c r="E9" s="1" t="n">
        <x:v>2021</x:v>
      </x:c>
      <x:c r="F9" s="12" t="n">
        <x:v>44591</x:v>
      </x:c>
      <x:c r="G9" s="1" t="str">
        <x:v>Income Statement</x:v>
      </x:c>
      <x:c r="H9" s="1" t="str">
        <x:v>Gross Profit</x:v>
      </x:c>
      <x:c r="I9" s="14" t="n">
        <x:v>50832</x:v>
      </x:c>
      <x:c r="J9" s="1" t="str">
        <x:v>SEC Company Facts comparative 10-K data</x:v>
      </x:c>
      <x:c r="K9" s="1"/>
      <x:c r="L9" s="1" t="str">
        <x:v>SG&amp;A</x:v>
      </x:c>
      <x:c r="M9" s="14" t="n">
        <x:v>25406</x:v>
      </x:c>
      <x:c r="N9" s="14" t="n">
        <x:v>26284</x:v>
      </x:c>
      <x:c r="O9" s="14" t="n">
        <x:v>26598</x:v>
      </x:c>
      <x:c r="P9" s="14" t="n">
        <x:v>28748</x:v>
      </x:c>
      <x:c r="Q9" s="14" t="n">
        <x:v>30702</x:v>
      </x:c>
      <x:c r="R9" s="1" t="str">
        <x:v>https://www.sec.gov/Archives/edgar/data/354950/000162828026019436/hd-20260201.htm</x:v>
      </x:c>
      <x:c r="S9" s="1"/>
      <x:c r="T9" s="1"/>
      <x:c r="U9" s="1"/>
      <x:c r="V9" s="1"/>
      <x:c r="W9" s="1"/>
      <x:c r="X9" s="1"/>
      <x:c r="Y9" s="1"/>
      <x:c r="Z9" s="1"/>
    </x:row>
    <x:row r="10">
      <x:c r="A10" s="1"/>
      <x:c r="B10" s="1"/>
      <x:c r="C10" s="1" t="str">
        <x:v>The Home Depot, Inc.</x:v>
      </x:c>
      <x:c r="D10" s="1" t="str">
        <x:v>HD</x:v>
      </x:c>
      <x:c r="E10" s="1" t="n">
        <x:v>2021</x:v>
      </x:c>
      <x:c r="F10" s="12" t="n">
        <x:v>44591</x:v>
      </x:c>
      <x:c r="G10" s="1" t="str">
        <x:v>Income Statement</x:v>
      </x:c>
      <x:c r="H10" s="1" t="str">
        <x:v>SG&amp;A</x:v>
      </x:c>
      <x:c r="I10" s="14" t="n">
        <x:v>25406</x:v>
      </x:c>
      <x:c r="J10" s="1" t="str">
        <x:v>SEC Company Facts comparative 10-K data</x:v>
      </x:c>
      <x:c r="K10" s="1"/>
      <x:c r="L10" s="1" t="str">
        <x:v>Depreciation &amp; Amortization Expense</x:v>
      </x:c>
      <x:c r="M10" s="14" t="n">
        <x:v>2386</x:v>
      </x:c>
      <x:c r="N10" s="14" t="n">
        <x:v>2455</x:v>
      </x:c>
      <x:c r="O10" s="14" t="n">
        <x:v>2673</x:v>
      </x:c>
      <x:c r="P10" s="14" t="n">
        <x:v>3034</x:v>
      </x:c>
      <x:c r="Q10" s="14" t="n">
        <x:v>3273</x:v>
      </x:c>
      <x:c r="R10" s="1" t="str">
        <x:v>https://www.sec.gov/Archives/edgar/data/354950/000162828026019436/hd-20260201.htm</x:v>
      </x:c>
      <x:c r="S10" s="1"/>
      <x:c r="T10" s="1"/>
      <x:c r="U10" s="1"/>
      <x:c r="V10" s="1"/>
      <x:c r="W10" s="1"/>
      <x:c r="X10" s="1"/>
      <x:c r="Y10" s="1"/>
      <x:c r="Z10" s="1"/>
    </x:row>
    <x:row r="11">
      <x:c r="A11" s="1"/>
      <x:c r="B11" s="1"/>
      <x:c r="C11" s="1" t="str">
        <x:v>The Home Depot, Inc.</x:v>
      </x:c>
      <x:c r="D11" s="1" t="str">
        <x:v>HD</x:v>
      </x:c>
      <x:c r="E11" s="1" t="n">
        <x:v>2021</x:v>
      </x:c>
      <x:c r="F11" s="12" t="n">
        <x:v>44591</x:v>
      </x:c>
      <x:c r="G11" s="1" t="str">
        <x:v>Income Statement</x:v>
      </x:c>
      <x:c r="H11" s="1" t="str">
        <x:v>Depreciation &amp; Amortization Expense</x:v>
      </x:c>
      <x:c r="I11" s="14" t="n">
        <x:v>2386</x:v>
      </x:c>
      <x:c r="J11" s="1" t="str">
        <x:v>SEC Company Facts comparative 10-K data</x:v>
      </x:c>
      <x:c r="K11" s="1"/>
      <x:c r="L11" s="1" t="str">
        <x:v>Operating Income</x:v>
      </x:c>
      <x:c r="M11" s="14" t="n">
        <x:v>23040</x:v>
      </x:c>
      <x:c r="N11" s="14" t="n">
        <x:v>24039</x:v>
      </x:c>
      <x:c r="O11" s="14" t="n">
        <x:v>21689</x:v>
      </x:c>
      <x:c r="P11" s="14" t="n">
        <x:v>21526</x:v>
      </x:c>
      <x:c r="Q11" s="14" t="n">
        <x:v>20890</x:v>
      </x:c>
      <x:c r="R11" s="1" t="str">
        <x:v>https://www.sec.gov/Archives/edgar/data/354950/000162828026019436/hd-20260201.htm</x:v>
      </x:c>
      <x:c r="S11" s="1"/>
      <x:c r="T11" s="1"/>
      <x:c r="U11" s="1"/>
      <x:c r="V11" s="1"/>
      <x:c r="W11" s="1"/>
      <x:c r="X11" s="1"/>
      <x:c r="Y11" s="1"/>
      <x:c r="Z11" s="1"/>
    </x:row>
    <x:row r="12">
      <x:c r="A12" s="1"/>
      <x:c r="B12" s="1"/>
      <x:c r="C12" s="1" t="str">
        <x:v>The Home Depot, Inc.</x:v>
      </x:c>
      <x:c r="D12" s="1" t="str">
        <x:v>HD</x:v>
      </x:c>
      <x:c r="E12" s="1" t="n">
        <x:v>2021</x:v>
      </x:c>
      <x:c r="F12" s="12" t="n">
        <x:v>44591</x:v>
      </x:c>
      <x:c r="G12" s="1" t="str">
        <x:v>Income Statement</x:v>
      </x:c>
      <x:c r="H12" s="1" t="str">
        <x:v>Operating Income</x:v>
      </x:c>
      <x:c r="I12" s="14" t="n">
        <x:v>23040</x:v>
      </x:c>
      <x:c r="J12" s="1" t="str">
        <x:v>SEC Company Facts comparative 10-K data</x:v>
      </x:c>
      <x:c r="K12" s="1"/>
      <x:c r="L12" s="1" t="str">
        <x:v>Interest Expense</x:v>
      </x:c>
      <x:c r="M12" s="14" t="n">
        <x:v>1347</x:v>
      </x:c>
      <x:c r="N12" s="14" t="n">
        <x:v>1617</x:v>
      </x:c>
      <x:c r="O12" s="14" t="n">
        <x:v>1943</x:v>
      </x:c>
      <x:c r="P12" s="14" t="n">
        <x:v>2321</x:v>
      </x:c>
      <x:c r="Q12" s="14" t="n">
        <x:v>2412</x:v>
      </x:c>
      <x:c r="R12" s="1" t="str">
        <x:v>https://www.sec.gov/Archives/edgar/data/354950/000162828026019436/hd-20260201.htm</x:v>
      </x:c>
      <x:c r="S12" s="1"/>
      <x:c r="T12" s="1"/>
      <x:c r="U12" s="1"/>
      <x:c r="V12" s="1"/>
      <x:c r="W12" s="1"/>
      <x:c r="X12" s="1"/>
      <x:c r="Y12" s="1"/>
      <x:c r="Z12" s="1"/>
    </x:row>
    <x:row r="13">
      <x:c r="A13" s="1"/>
      <x:c r="B13" s="1"/>
      <x:c r="C13" s="1" t="str">
        <x:v>The Home Depot, Inc.</x:v>
      </x:c>
      <x:c r="D13" s="1" t="str">
        <x:v>HD</x:v>
      </x:c>
      <x:c r="E13" s="1" t="n">
        <x:v>2021</x:v>
      </x:c>
      <x:c r="F13" s="12" t="n">
        <x:v>44591</x:v>
      </x:c>
      <x:c r="G13" s="1" t="str">
        <x:v>Income Statement</x:v>
      </x:c>
      <x:c r="H13" s="1" t="str">
        <x:v>Interest Expense</x:v>
      </x:c>
      <x:c r="I13" s="14" t="n">
        <x:v>1347</x:v>
      </x:c>
      <x:c r="J13" s="1" t="str">
        <x:v>SEC Company Facts comparative 10-K data</x:v>
      </x:c>
      <x:c r="K13" s="1"/>
      <x:c r="L13" s="1" t="str">
        <x:v>Income Before Tax</x:v>
      </x:c>
      <x:c r="M13" s="14" t="n">
        <x:v>21737</x:v>
      </x:c>
      <x:c r="N13" s="14" t="n">
        <x:v>22477</x:v>
      </x:c>
      <x:c r="O13" s="14" t="n">
        <x:v>19924</x:v>
      </x:c>
      <x:c r="P13" s="14" t="n">
        <x:v>19406</x:v>
      </x:c>
      <x:c r="Q13" s="14" t="n">
        <x:v>18602</x:v>
      </x:c>
      <x:c r="R13" s="1" t="str">
        <x:v>https://www.sec.gov/Archives/edgar/data/354950/000162828026019436/hd-20260201.htm</x:v>
      </x:c>
      <x:c r="S13" s="1"/>
      <x:c r="T13" s="1"/>
      <x:c r="U13" s="1"/>
      <x:c r="V13" s="1"/>
      <x:c r="W13" s="1"/>
      <x:c r="X13" s="1"/>
      <x:c r="Y13" s="1"/>
      <x:c r="Z13" s="1"/>
    </x:row>
    <x:row r="14">
      <x:c r="A14" s="1"/>
      <x:c r="B14" s="1"/>
      <x:c r="C14" s="1" t="str">
        <x:v>The Home Depot, Inc.</x:v>
      </x:c>
      <x:c r="D14" s="1" t="str">
        <x:v>HD</x:v>
      </x:c>
      <x:c r="E14" s="1" t="n">
        <x:v>2021</x:v>
      </x:c>
      <x:c r="F14" s="12" t="n">
        <x:v>44591</x:v>
      </x:c>
      <x:c r="G14" s="1" t="str">
        <x:v>Income Statement</x:v>
      </x:c>
      <x:c r="H14" s="1" t="str">
        <x:v>Income Before Tax</x:v>
      </x:c>
      <x:c r="I14" s="14" t="n">
        <x:v>21737</x:v>
      </x:c>
      <x:c r="J14" s="1" t="str">
        <x:v>SEC Company Facts comparative 10-K data</x:v>
      </x:c>
      <x:c r="K14" s="1"/>
      <x:c r="L14" s="1" t="str">
        <x:v>Income Tax Expense</x:v>
      </x:c>
      <x:c r="M14" s="14" t="n">
        <x:v>5304</x:v>
      </x:c>
      <x:c r="N14" s="14" t="n">
        <x:v>5372</x:v>
      </x:c>
      <x:c r="O14" s="14" t="n">
        <x:v>4781</x:v>
      </x:c>
      <x:c r="P14" s="14" t="n">
        <x:v>4600</x:v>
      </x:c>
      <x:c r="Q14" s="14" t="n">
        <x:v>4446</x:v>
      </x:c>
      <x:c r="R14" s="1" t="str">
        <x:v>https://www.sec.gov/Archives/edgar/data/354950/000162828026019436/hd-20260201.htm</x:v>
      </x:c>
      <x:c r="S14" s="1"/>
      <x:c r="T14" s="1"/>
      <x:c r="U14" s="1"/>
      <x:c r="V14" s="1"/>
      <x:c r="W14" s="1"/>
      <x:c r="X14" s="1"/>
      <x:c r="Y14" s="1"/>
      <x:c r="Z14" s="1"/>
    </x:row>
    <x:row r="15">
      <x:c r="A15" s="1"/>
      <x:c r="B15" s="1"/>
      <x:c r="C15" s="1" t="str">
        <x:v>The Home Depot, Inc.</x:v>
      </x:c>
      <x:c r="D15" s="1" t="str">
        <x:v>HD</x:v>
      </x:c>
      <x:c r="E15" s="1" t="n">
        <x:v>2021</x:v>
      </x:c>
      <x:c r="F15" s="12" t="n">
        <x:v>44591</x:v>
      </x:c>
      <x:c r="G15" s="1" t="str">
        <x:v>Income Statement</x:v>
      </x:c>
      <x:c r="H15" s="1" t="str">
        <x:v>Income Tax Expense</x:v>
      </x:c>
      <x:c r="I15" s="14" t="n">
        <x:v>5304</x:v>
      </x:c>
      <x:c r="J15" s="1" t="str">
        <x:v>SEC Company Facts comparative 10-K data</x:v>
      </x:c>
      <x:c r="K15" s="1"/>
      <x:c r="L15" s="1" t="str">
        <x:v>Net Income</x:v>
      </x:c>
      <x:c r="M15" s="14" t="n">
        <x:v>16433</x:v>
      </x:c>
      <x:c r="N15" s="14" t="n">
        <x:v>17105</x:v>
      </x:c>
      <x:c r="O15" s="14" t="n">
        <x:v>15143</x:v>
      </x:c>
      <x:c r="P15" s="14" t="n">
        <x:v>14806</x:v>
      </x:c>
      <x:c r="Q15" s="14" t="n">
        <x:v>14156</x:v>
      </x:c>
      <x:c r="R15" s="1" t="str">
        <x:v>https://www.sec.gov/Archives/edgar/data/354950/000162828026019436/hd-20260201.htm</x:v>
      </x:c>
      <x:c r="S15" s="1"/>
      <x:c r="T15" s="1"/>
      <x:c r="U15" s="1"/>
      <x:c r="V15" s="1"/>
      <x:c r="W15" s="1"/>
      <x:c r="X15" s="1"/>
      <x:c r="Y15" s="1"/>
      <x:c r="Z15" s="1"/>
    </x:row>
    <x:row r="16">
      <x:c r="A16" s="1"/>
      <x:c r="B16" s="1"/>
      <x:c r="C16" s="1" t="str">
        <x:v>The Home Depot, Inc.</x:v>
      </x:c>
      <x:c r="D16" s="1" t="str">
        <x:v>HD</x:v>
      </x:c>
      <x:c r="E16" s="1" t="n">
        <x:v>2021</x:v>
      </x:c>
      <x:c r="F16" s="12" t="n">
        <x:v>44591</x:v>
      </x:c>
      <x:c r="G16" s="1" t="str">
        <x:v>Income Statement</x:v>
      </x:c>
      <x:c r="H16" s="1" t="str">
        <x:v>Net Income</x:v>
      </x:c>
      <x:c r="I16" s="14" t="n">
        <x:v>16433</x:v>
      </x:c>
      <x:c r="J16" s="1" t="str">
        <x:v>SEC Company Facts comparative 10-K data</x:v>
      </x:c>
      <x:c r="K16" s="1"/>
      <x:c r="L16" s="1" t="str">
        <x:v>Cash &amp; Equivalents</x:v>
      </x:c>
      <x:c r="M16" s="14" t="n">
        <x:v>2343</x:v>
      </x:c>
      <x:c r="N16" s="14" t="n">
        <x:v>2757</x:v>
      </x:c>
      <x:c r="O16" s="14" t="n">
        <x:v>3760</x:v>
      </x:c>
      <x:c r="P16" s="14" t="n">
        <x:v>1659</x:v>
      </x:c>
      <x:c r="Q16" s="14" t="n">
        <x:v>1389</x:v>
      </x:c>
      <x:c r="R16" s="1" t="str">
        <x:v>https://www.sec.gov/Archives/edgar/data/354950/000162828026019436/hd-20260201.htm</x:v>
      </x:c>
      <x:c r="S16" s="1"/>
      <x:c r="T16" s="1"/>
      <x:c r="U16" s="1"/>
      <x:c r="V16" s="1"/>
      <x:c r="W16" s="1"/>
      <x:c r="X16" s="1"/>
      <x:c r="Y16" s="1"/>
      <x:c r="Z16" s="1"/>
    </x:row>
    <x:row r="17">
      <x:c r="A17" s="1"/>
      <x:c r="B17" s="1"/>
      <x:c r="C17" s="1" t="str">
        <x:v>The Home Depot, Inc.</x:v>
      </x:c>
      <x:c r="D17" s="1" t="str">
        <x:v>HD</x:v>
      </x:c>
      <x:c r="E17" s="1" t="n">
        <x:v>2021</x:v>
      </x:c>
      <x:c r="F17" s="12" t="n">
        <x:v>44591</x:v>
      </x:c>
      <x:c r="G17" s="1" t="str">
        <x:v>Balance Sheet</x:v>
      </x:c>
      <x:c r="H17" s="1" t="str">
        <x:v>Cash &amp; Equivalents</x:v>
      </x:c>
      <x:c r="I17" s="14" t="n">
        <x:v>2343</x:v>
      </x:c>
      <x:c r="J17" s="1" t="str">
        <x:v>SEC Company Facts comparative 10-K data</x:v>
      </x:c>
      <x:c r="K17" s="1"/>
      <x:c r="L17" s="1" t="str">
        <x:v>Accounts Receivable</x:v>
      </x:c>
      <x:c r="M17" s="14" t="n">
        <x:v>3426</x:v>
      </x:c>
      <x:c r="N17" s="14" t="n">
        <x:v>3317</x:v>
      </x:c>
      <x:c r="O17" s="14" t="n">
        <x:v>3328</x:v>
      </x:c>
      <x:c r="P17" s="14" t="n">
        <x:v>4903</x:v>
      </x:c>
      <x:c r="Q17" s="14" t="n">
        <x:v>5597</x:v>
      </x:c>
      <x:c r="R17" s="1" t="str">
        <x:v>https://www.sec.gov/Archives/edgar/data/354950/000162828026019436/hd-20260201.htm</x:v>
      </x:c>
      <x:c r="S17" s="1"/>
      <x:c r="T17" s="1"/>
      <x:c r="U17" s="1"/>
      <x:c r="V17" s="1"/>
      <x:c r="W17" s="1"/>
      <x:c r="X17" s="1"/>
      <x:c r="Y17" s="1"/>
      <x:c r="Z17" s="1"/>
    </x:row>
    <x:row r="18">
      <x:c r="A18" s="1"/>
      <x:c r="B18" s="1"/>
      <x:c r="C18" s="1" t="str">
        <x:v>The Home Depot, Inc.</x:v>
      </x:c>
      <x:c r="D18" s="1" t="str">
        <x:v>HD</x:v>
      </x:c>
      <x:c r="E18" s="1" t="n">
        <x:v>2021</x:v>
      </x:c>
      <x:c r="F18" s="12" t="n">
        <x:v>44591</x:v>
      </x:c>
      <x:c r="G18" s="1" t="str">
        <x:v>Balance Sheet</x:v>
      </x:c>
      <x:c r="H18" s="1" t="str">
        <x:v>Accounts Receivable</x:v>
      </x:c>
      <x:c r="I18" s="14" t="n">
        <x:v>3426</x:v>
      </x:c>
      <x:c r="J18" s="1" t="str">
        <x:v>SEC Company Facts comparative 10-K data</x:v>
      </x:c>
      <x:c r="K18" s="1"/>
      <x:c r="L18" s="1" t="str">
        <x:v>Inventory</x:v>
      </x:c>
      <x:c r="M18" s="14" t="n">
        <x:v>22068</x:v>
      </x:c>
      <x:c r="N18" s="14" t="n">
        <x:v>24886</x:v>
      </x:c>
      <x:c r="O18" s="14" t="n">
        <x:v>20976</x:v>
      </x:c>
      <x:c r="P18" s="14" t="n">
        <x:v>23451</x:v>
      </x:c>
      <x:c r="Q18" s="14" t="n">
        <x:v>25817</x:v>
      </x:c>
      <x:c r="R18" s="1" t="str">
        <x:v>https://www.sec.gov/Archives/edgar/data/354950/000162828026019436/hd-20260201.htm</x:v>
      </x:c>
      <x:c r="S18" s="1"/>
      <x:c r="T18" s="1"/>
      <x:c r="U18" s="1"/>
      <x:c r="V18" s="1"/>
      <x:c r="W18" s="1"/>
      <x:c r="X18" s="1"/>
      <x:c r="Y18" s="1"/>
      <x:c r="Z18" s="1"/>
    </x:row>
    <x:row r="19">
      <x:c r="A19" s="1"/>
      <x:c r="B19" s="1"/>
      <x:c r="C19" s="1" t="str">
        <x:v>The Home Depot, Inc.</x:v>
      </x:c>
      <x:c r="D19" s="1" t="str">
        <x:v>HD</x:v>
      </x:c>
      <x:c r="E19" s="1" t="n">
        <x:v>2021</x:v>
      </x:c>
      <x:c r="F19" s="12" t="n">
        <x:v>44591</x:v>
      </x:c>
      <x:c r="G19" s="1" t="str">
        <x:v>Balance Sheet</x:v>
      </x:c>
      <x:c r="H19" s="1" t="str">
        <x:v>Inventory</x:v>
      </x:c>
      <x:c r="I19" s="14" t="n">
        <x:v>22068</x:v>
      </x:c>
      <x:c r="J19" s="1" t="str">
        <x:v>SEC Company Facts comparative 10-K data</x:v>
      </x:c>
      <x:c r="K19" s="1"/>
      <x:c r="L19" s="1" t="str">
        <x:v>Current Assets</x:v>
      </x:c>
      <x:c r="M19" s="14" t="n">
        <x:v>29055</x:v>
      </x:c>
      <x:c r="N19" s="14" t="n">
        <x:v>32471</x:v>
      </x:c>
      <x:c r="O19" s="14" t="n">
        <x:v>29775</x:v>
      </x:c>
      <x:c r="P19" s="14" t="n">
        <x:v>31683</x:v>
      </x:c>
      <x:c r="Q19" s="14" t="n">
        <x:v>34391</x:v>
      </x:c>
      <x:c r="R19" s="1" t="str">
        <x:v>https://www.sec.gov/Archives/edgar/data/354950/000162828026019436/hd-20260201.htm</x:v>
      </x:c>
      <x:c r="S19" s="1"/>
      <x:c r="T19" s="1"/>
      <x:c r="U19" s="1"/>
      <x:c r="V19" s="1"/>
      <x:c r="W19" s="1"/>
      <x:c r="X19" s="1"/>
      <x:c r="Y19" s="1"/>
      <x:c r="Z19" s="1"/>
    </x:row>
    <x:row r="20">
      <x:c r="A20" s="1"/>
      <x:c r="B20" s="1"/>
      <x:c r="C20" s="1" t="str">
        <x:v>The Home Depot, Inc.</x:v>
      </x:c>
      <x:c r="D20" s="1" t="str">
        <x:v>HD</x:v>
      </x:c>
      <x:c r="E20" s="1" t="n">
        <x:v>2021</x:v>
      </x:c>
      <x:c r="F20" s="12" t="n">
        <x:v>44591</x:v>
      </x:c>
      <x:c r="G20" s="1" t="str">
        <x:v>Balance Sheet</x:v>
      </x:c>
      <x:c r="H20" s="1" t="str">
        <x:v>Current Assets</x:v>
      </x:c>
      <x:c r="I20" s="14" t="n">
        <x:v>29055</x:v>
      </x:c>
      <x:c r="J20" s="1" t="str">
        <x:v>SEC Company Facts comparative 10-K data</x:v>
      </x:c>
      <x:c r="K20" s="1"/>
      <x:c r="L20" s="1" t="str">
        <x:v>Total Assets</x:v>
      </x:c>
      <x:c r="M20" s="14" t="n">
        <x:v>71876</x:v>
      </x:c>
      <x:c r="N20" s="14" t="n">
        <x:v>76445</x:v>
      </x:c>
      <x:c r="O20" s="14" t="n">
        <x:v>76530</x:v>
      </x:c>
      <x:c r="P20" s="14" t="n">
        <x:v>96119</x:v>
      </x:c>
      <x:c r="Q20" s="14" t="n">
        <x:v>105095</x:v>
      </x:c>
      <x:c r="R20" s="1" t="str">
        <x:v>https://www.sec.gov/Archives/edgar/data/354950/000162828026019436/hd-20260201.htm</x:v>
      </x:c>
      <x:c r="S20" s="1"/>
      <x:c r="T20" s="1"/>
      <x:c r="U20" s="1"/>
      <x:c r="V20" s="1"/>
      <x:c r="W20" s="1"/>
      <x:c r="X20" s="1"/>
      <x:c r="Y20" s="1"/>
      <x:c r="Z20" s="1"/>
    </x:row>
    <x:row r="21">
      <x:c r="A21" s="1"/>
      <x:c r="B21" s="1"/>
      <x:c r="C21" s="1" t="str">
        <x:v>The Home Depot, Inc.</x:v>
      </x:c>
      <x:c r="D21" s="1" t="str">
        <x:v>HD</x:v>
      </x:c>
      <x:c r="E21" s="1" t="n">
        <x:v>2021</x:v>
      </x:c>
      <x:c r="F21" s="12" t="n">
        <x:v>44591</x:v>
      </x:c>
      <x:c r="G21" s="1" t="str">
        <x:v>Balance Sheet</x:v>
      </x:c>
      <x:c r="H21" s="1" t="str">
        <x:v>Total Assets</x:v>
      </x:c>
      <x:c r="I21" s="14" t="n">
        <x:v>71876</x:v>
      </x:c>
      <x:c r="J21" s="1" t="str">
        <x:v>SEC Company Facts comparative 10-K data</x:v>
      </x:c>
      <x:c r="K21" s="1"/>
      <x:c r="L21" s="1" t="str">
        <x:v>Accounts Payable</x:v>
      </x:c>
      <x:c r="M21" s="14" t="n">
        <x:v>13462</x:v>
      </x:c>
      <x:c r="N21" s="14" t="n">
        <x:v>11443</x:v>
      </x:c>
      <x:c r="O21" s="14" t="n">
        <x:v>10037</x:v>
      </x:c>
      <x:c r="P21" s="14" t="n">
        <x:v>11938</x:v>
      </x:c>
      <x:c r="Q21" s="14" t="n">
        <x:v>11491</x:v>
      </x:c>
      <x:c r="R21" s="1" t="str">
        <x:v>https://www.sec.gov/Archives/edgar/data/354950/000162828026019436/hd-20260201.htm</x:v>
      </x:c>
      <x:c r="S21" s="1"/>
      <x:c r="T21" s="1"/>
      <x:c r="U21" s="1"/>
      <x:c r="V21" s="1"/>
      <x:c r="W21" s="1"/>
      <x:c r="X21" s="1"/>
      <x:c r="Y21" s="1"/>
      <x:c r="Z21" s="1"/>
    </x:row>
    <x:row r="22">
      <x:c r="A22" s="1"/>
      <x:c r="B22" s="1"/>
      <x:c r="C22" s="1" t="str">
        <x:v>The Home Depot, Inc.</x:v>
      </x:c>
      <x:c r="D22" s="1" t="str">
        <x:v>HD</x:v>
      </x:c>
      <x:c r="E22" s="1" t="n">
        <x:v>2021</x:v>
      </x:c>
      <x:c r="F22" s="12" t="n">
        <x:v>44591</x:v>
      </x:c>
      <x:c r="G22" s="1" t="str">
        <x:v>Balance Sheet</x:v>
      </x:c>
      <x:c r="H22" s="1" t="str">
        <x:v>Accounts Payable</x:v>
      </x:c>
      <x:c r="I22" s="14" t="n">
        <x:v>13462</x:v>
      </x:c>
      <x:c r="J22" s="1" t="str">
        <x:v>SEC Company Facts comparative 10-K data</x:v>
      </x:c>
      <x:c r="K22" s="1"/>
      <x:c r="L22" s="1" t="str">
        <x:v>Current Liabilities</x:v>
      </x:c>
      <x:c r="M22" s="14" t="n">
        <x:v>28693</x:v>
      </x:c>
      <x:c r="N22" s="14" t="n">
        <x:v>23110</x:v>
      </x:c>
      <x:c r="O22" s="14" t="n">
        <x:v>22015</x:v>
      </x:c>
      <x:c r="P22" s="14" t="n">
        <x:v>28661</x:v>
      </x:c>
      <x:c r="Q22" s="14" t="n">
        <x:v>32424</x:v>
      </x:c>
      <x:c r="R22" s="1" t="str">
        <x:v>https://www.sec.gov/Archives/edgar/data/354950/000162828026019436/hd-20260201.htm</x:v>
      </x:c>
      <x:c r="S22" s="1"/>
      <x:c r="T22" s="1"/>
      <x:c r="U22" s="1"/>
      <x:c r="V22" s="1"/>
      <x:c r="W22" s="1"/>
      <x:c r="X22" s="1"/>
      <x:c r="Y22" s="1"/>
      <x:c r="Z22" s="1"/>
    </x:row>
    <x:row r="23">
      <x:c r="A23" s="1"/>
      <x:c r="B23" s="1"/>
      <x:c r="C23" s="1" t="str">
        <x:v>The Home Depot, Inc.</x:v>
      </x:c>
      <x:c r="D23" s="1" t="str">
        <x:v>HD</x:v>
      </x:c>
      <x:c r="E23" s="1" t="n">
        <x:v>2021</x:v>
      </x:c>
      <x:c r="F23" s="12" t="n">
        <x:v>44591</x:v>
      </x:c>
      <x:c r="G23" s="1" t="str">
        <x:v>Balance Sheet</x:v>
      </x:c>
      <x:c r="H23" s="1" t="str">
        <x:v>Current Liabilities</x:v>
      </x:c>
      <x:c r="I23" s="14" t="n">
        <x:v>28693</x:v>
      </x:c>
      <x:c r="J23" s="1" t="str">
        <x:v>SEC Company Facts comparative 10-K data</x:v>
      </x:c>
      <x:c r="K23" s="1"/>
      <x:c r="L23" s="1" t="str">
        <x:v>Current Debt</x:v>
      </x:c>
      <x:c r="M23" s="14" t="n">
        <x:v>2447</x:v>
      </x:c>
      <x:c r="N23" s="14" t="n">
        <x:v>1231</x:v>
      </x:c>
      <x:c r="O23" s="14" t="n">
        <x:v>1368</x:v>
      </x:c>
      <x:c r="P23" s="14" t="n">
        <x:v>4582</x:v>
      </x:c>
      <x:c r="Q23" s="14" t="n">
        <x:v>4967</x:v>
      </x:c>
      <x:c r="R23" s="1" t="str">
        <x:v>https://www.sec.gov/Archives/edgar/data/354950/000162828026019436/hd-20260201.htm</x:v>
      </x:c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1" t="str">
        <x:v>The Home Depot, Inc.</x:v>
      </x:c>
      <x:c r="D24" s="1" t="str">
        <x:v>HD</x:v>
      </x:c>
      <x:c r="E24" s="1" t="n">
        <x:v>2021</x:v>
      </x:c>
      <x:c r="F24" s="12" t="n">
        <x:v>44591</x:v>
      </x:c>
      <x:c r="G24" s="1" t="str">
        <x:v>Balance Sheet</x:v>
      </x:c>
      <x:c r="H24" s="1" t="str">
        <x:v>Current Debt</x:v>
      </x:c>
      <x:c r="I24" s="14" t="n">
        <x:v>2447</x:v>
      </x:c>
      <x:c r="J24" s="1" t="str">
        <x:v>SEC Company Facts comparative 10-K data</x:v>
      </x:c>
      <x:c r="K24" s="1"/>
      <x:c r="L24" s="1" t="str">
        <x:v>Long-term Debt</x:v>
      </x:c>
      <x:c r="M24" s="14" t="n">
        <x:v>36604</x:v>
      </x:c>
      <x:c r="N24" s="14" t="n">
        <x:v>41962</x:v>
      </x:c>
      <x:c r="O24" s="14" t="n">
        <x:v>42743</x:v>
      </x:c>
      <x:c r="P24" s="14" t="n">
        <x:v>48485</x:v>
      </x:c>
      <x:c r="Q24" s="14" t="n">
        <x:v>46341</x:v>
      </x:c>
      <x:c r="R24" s="1" t="str">
        <x:v>https://www.sec.gov/Archives/edgar/data/354950/000162828026019436/hd-20260201.htm</x:v>
      </x:c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 t="str">
        <x:v>The Home Depot, Inc.</x:v>
      </x:c>
      <x:c r="D25" s="1" t="str">
        <x:v>HD</x:v>
      </x:c>
      <x:c r="E25" s="1" t="n">
        <x:v>2021</x:v>
      </x:c>
      <x:c r="F25" s="12" t="n">
        <x:v>44591</x:v>
      </x:c>
      <x:c r="G25" s="1" t="str">
        <x:v>Balance Sheet</x:v>
      </x:c>
      <x:c r="H25" s="1" t="str">
        <x:v>Long-term Debt</x:v>
      </x:c>
      <x:c r="I25" s="14" t="n">
        <x:v>36604</x:v>
      </x:c>
      <x:c r="J25" s="1" t="str">
        <x:v>SEC Company Facts comparative 10-K data</x:v>
      </x:c>
      <x:c r="K25" s="1"/>
      <x:c r="L25" s="1" t="str">
        <x:v>Operating Lease Liabilities</x:v>
      </x:c>
      <x:c r="M25" s="14" t="n">
        <x:v>6183</x:v>
      </x:c>
      <x:c r="N25" s="14" t="n">
        <x:v>7171</x:v>
      </x:c>
      <x:c r="O25" s="14" t="n">
        <x:v>8132</x:v>
      </x:c>
      <x:c r="P25" s="14" t="n">
        <x:v>8907</x:v>
      </x:c>
      <x:c r="Q25" s="14" t="n">
        <x:v>9578</x:v>
      </x:c>
      <x:c r="R25" s="1" t="str">
        <x:v>https://www.sec.gov/Archives/edgar/data/354950/000162828026019436/hd-20260201.htm</x:v>
      </x:c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 t="str">
        <x:v>The Home Depot, Inc.</x:v>
      </x:c>
      <x:c r="D26" s="1" t="str">
        <x:v>HD</x:v>
      </x:c>
      <x:c r="E26" s="1" t="n">
        <x:v>2021</x:v>
      </x:c>
      <x:c r="F26" s="12" t="n">
        <x:v>44591</x:v>
      </x:c>
      <x:c r="G26" s="1" t="str">
        <x:v>Balance Sheet</x:v>
      </x:c>
      <x:c r="H26" s="1" t="str">
        <x:v>Operating Lease Liabilities</x:v>
      </x:c>
      <x:c r="I26" s="14" t="n">
        <x:v>6183</x:v>
      </x:c>
      <x:c r="J26" s="1" t="str">
        <x:v>SEC Company Facts comparative 10-K data</x:v>
      </x:c>
      <x:c r="K26" s="1"/>
      <x:c r="L26" s="1" t="str">
        <x:v>Total Liabilities</x:v>
      </x:c>
      <x:c r="M26" s="14" t="n">
        <x:v>73572</x:v>
      </x:c>
      <x:c r="N26" s="14" t="n">
        <x:v>74883</x:v>
      </x:c>
      <x:c r="O26" s="14" t="n">
        <x:v>75486</x:v>
      </x:c>
      <x:c r="P26" s="14" t="n">
        <x:v>89479</x:v>
      </x:c>
      <x:c r="Q26" s="14" t="n">
        <x:v>92282</x:v>
      </x:c>
      <x:c r="R26" s="1" t="str">
        <x:v>https://www.sec.gov/Archives/edgar/data/354950/000162828026019436/hd-20260201.htm</x:v>
      </x:c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 t="str">
        <x:v>The Home Depot, Inc.</x:v>
      </x:c>
      <x:c r="D27" s="1" t="str">
        <x:v>HD</x:v>
      </x:c>
      <x:c r="E27" s="1" t="n">
        <x:v>2021</x:v>
      </x:c>
      <x:c r="F27" s="12" t="n">
        <x:v>44591</x:v>
      </x:c>
      <x:c r="G27" s="1" t="str">
        <x:v>Balance Sheet</x:v>
      </x:c>
      <x:c r="H27" s="1" t="str">
        <x:v>Total Liabilities</x:v>
      </x:c>
      <x:c r="I27" s="14" t="n">
        <x:v>73572</x:v>
      </x:c>
      <x:c r="J27" s="1" t="str">
        <x:v>SEC Company Facts comparative 10-K data</x:v>
      </x:c>
      <x:c r="K27" s="1"/>
      <x:c r="L27" s="1" t="str">
        <x:v>Stockholders' Equity</x:v>
      </x:c>
      <x:c r="M27" s="14" t="n">
        <x:v>-1696</x:v>
      </x:c>
      <x:c r="N27" s="14" t="n">
        <x:v>1562</x:v>
      </x:c>
      <x:c r="O27" s="14" t="n">
        <x:v>1044</x:v>
      </x:c>
      <x:c r="P27" s="14" t="n">
        <x:v>6640</x:v>
      </x:c>
      <x:c r="Q27" s="14" t="n">
        <x:v>12813</x:v>
      </x:c>
      <x:c r="R27" s="1" t="str">
        <x:v>https://www.sec.gov/Archives/edgar/data/354950/000162828026019436/hd-20260201.htm</x:v>
      </x:c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 t="str">
        <x:v>The Home Depot, Inc.</x:v>
      </x:c>
      <x:c r="D28" s="1" t="str">
        <x:v>HD</x:v>
      </x:c>
      <x:c r="E28" s="1" t="n">
        <x:v>2021</x:v>
      </x:c>
      <x:c r="F28" s="12" t="n">
        <x:v>44591</x:v>
      </x:c>
      <x:c r="G28" s="1" t="str">
        <x:v>Balance Sheet</x:v>
      </x:c>
      <x:c r="H28" s="1" t="str">
        <x:v>Stockholders' Equity</x:v>
      </x:c>
      <x:c r="I28" s="14" t="n">
        <x:v>-1696</x:v>
      </x:c>
      <x:c r="J28" s="1" t="str">
        <x:v>SEC Company Facts comparative 10-K data</x:v>
      </x:c>
      <x:c r="K28" s="1"/>
      <x:c r="L28" s="1" t="str">
        <x:v>Operating Cash Flow</x:v>
      </x:c>
      <x:c r="M28" s="14" t="n">
        <x:v>16571</x:v>
      </x:c>
      <x:c r="N28" s="14" t="n">
        <x:v>14615</x:v>
      </x:c>
      <x:c r="O28" s="14" t="n">
        <x:v>21172</x:v>
      </x:c>
      <x:c r="P28" s="14" t="n">
        <x:v>19810</x:v>
      </x:c>
      <x:c r="Q28" s="14" t="n">
        <x:v>16325</x:v>
      </x:c>
      <x:c r="R28" s="1" t="str">
        <x:v>https://www.sec.gov/Archives/edgar/data/354950/000162828026019436/hd-20260201.htm</x:v>
      </x:c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 t="str">
        <x:v>The Home Depot, Inc.</x:v>
      </x:c>
      <x:c r="D29" s="1" t="str">
        <x:v>HD</x:v>
      </x:c>
      <x:c r="E29" s="1" t="n">
        <x:v>2021</x:v>
      </x:c>
      <x:c r="F29" s="12" t="n">
        <x:v>44591</x:v>
      </x:c>
      <x:c r="G29" s="1" t="str">
        <x:v>Cash Flow</x:v>
      </x:c>
      <x:c r="H29" s="1" t="str">
        <x:v>Operating Cash Flow</x:v>
      </x:c>
      <x:c r="I29" s="14" t="n">
        <x:v>16571</x:v>
      </x:c>
      <x:c r="J29" s="1" t="str">
        <x:v>SEC Company Facts comparative 10-K data</x:v>
      </x:c>
      <x:c r="K29" s="1"/>
      <x:c r="L29" s="1" t="str">
        <x:v>D&amp;A Add-back</x:v>
      </x:c>
      <x:c r="M29" s="14" t="n">
        <x:v>2862</x:v>
      </x:c>
      <x:c r="N29" s="14" t="n">
        <x:v>2796</x:v>
      </x:c>
      <x:c r="O29" s="14" t="n">
        <x:v>3061</x:v>
      </x:c>
      <x:c r="P29" s="14" t="n">
        <x:v>3336</x:v>
      </x:c>
      <x:c r="Q29" s="14" t="n">
        <x:v>3514</x:v>
      </x:c>
      <x:c r="R29" s="1" t="str">
        <x:v>https://www.sec.gov/Archives/edgar/data/354950/000162828026019436/hd-20260201.htm</x:v>
      </x:c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 t="str">
        <x:v>The Home Depot, Inc.</x:v>
      </x:c>
      <x:c r="D30" s="1" t="str">
        <x:v>HD</x:v>
      </x:c>
      <x:c r="E30" s="1" t="n">
        <x:v>2021</x:v>
      </x:c>
      <x:c r="F30" s="12" t="n">
        <x:v>44591</x:v>
      </x:c>
      <x:c r="G30" s="1" t="str">
        <x:v>Cash Flow</x:v>
      </x:c>
      <x:c r="H30" s="1" t="str">
        <x:v>D&amp;A Add-back</x:v>
      </x:c>
      <x:c r="I30" s="14" t="n">
        <x:v>2862</x:v>
      </x:c>
      <x:c r="J30" s="1" t="str">
        <x:v>SEC Company Facts comparative 10-K data</x:v>
      </x:c>
      <x:c r="K30" s="1"/>
      <x:c r="L30" s="1" t="str">
        <x:v>Change in Receivables</x:v>
      </x:c>
      <x:c r="M30" s="14" t="n">
        <x:v>435</x:v>
      </x:c>
      <x:c r="N30" s="14" t="n">
        <x:v>-111</x:v>
      </x:c>
      <x:c r="O30" s="14" t="n">
        <x:v>-134</x:v>
      </x:c>
      <x:c r="P30" s="14" t="n">
        <x:v>-174</x:v>
      </x:c>
      <x:c r="Q30" s="14" t="n">
        <x:v>-107</x:v>
      </x:c>
      <x:c r="R30" s="1" t="str">
        <x:v>https://www.sec.gov/Archives/edgar/data/354950/000162828026019436/hd-20260201.htm</x:v>
      </x:c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 t="str">
        <x:v>The Home Depot, Inc.</x:v>
      </x:c>
      <x:c r="D31" s="1" t="str">
        <x:v>HD</x:v>
      </x:c>
      <x:c r="E31" s="1" t="n">
        <x:v>2021</x:v>
      </x:c>
      <x:c r="F31" s="12" t="n">
        <x:v>44591</x:v>
      </x:c>
      <x:c r="G31" s="1" t="str">
        <x:v>Cash Flow</x:v>
      </x:c>
      <x:c r="H31" s="1" t="str">
        <x:v>Change in Receivables</x:v>
      </x:c>
      <x:c r="I31" s="14" t="n">
        <x:v>435</x:v>
      </x:c>
      <x:c r="J31" s="1" t="str">
        <x:v>SEC Company Facts comparative 10-K data</x:v>
      </x:c>
      <x:c r="K31" s="1"/>
      <x:c r="L31" s="1" t="str">
        <x:v>Change in Inventory</x:v>
      </x:c>
      <x:c r="M31" s="14"/>
      <x:c r="N31" s="14"/>
      <x:c r="O31" s="14"/>
      <x:c r="P31" s="14"/>
      <x:c r="Q31" s="14"/>
      <x:c r="R31" s="1" t="str">
        <x:v>https://www.sec.gov/Archives/edgar/data/354950/000162828026019436/hd-20260201.htm</x:v>
      </x:c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 t="str">
        <x:v>The Home Depot, Inc.</x:v>
      </x:c>
      <x:c r="D32" s="1" t="str">
        <x:v>HD</x:v>
      </x:c>
      <x:c r="E32" s="1" t="n">
        <x:v>2021</x:v>
      </x:c>
      <x:c r="F32" s="12" t="n">
        <x:v>44591</x:v>
      </x:c>
      <x:c r="G32" s="1" t="str">
        <x:v>Cash Flow</x:v>
      </x:c>
      <x:c r="H32" s="1" t="str">
        <x:v>Change in Inventory</x:v>
      </x:c>
      <x:c r="I32" s="14"/>
      <x:c r="J32" s="1" t="str">
        <x:v>SEC Company Facts comparative 10-K data</x:v>
      </x:c>
      <x:c r="K32" s="1"/>
      <x:c r="L32" s="1" t="str">
        <x:v>Change in A/P &amp; Accrued Liabilities</x:v>
      </x:c>
      <x:c r="M32" s="14" t="n">
        <x:v>2401</x:v>
      </x:c>
      <x:c r="N32" s="14" t="n">
        <x:v>-2577</x:v>
      </x:c>
      <x:c r="O32" s="14" t="n">
        <x:v>-1411</x:v>
      </x:c>
      <x:c r="P32" s="14" t="n">
        <x:v>518</x:v>
      </x:c>
      <x:c r="Q32" s="14" t="n">
        <x:v>-1058</x:v>
      </x:c>
      <x:c r="R32" s="1" t="str">
        <x:v>https://www.sec.gov/Archives/edgar/data/354950/000162828026019436/hd-20260201.htm</x:v>
      </x:c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 t="str">
        <x:v>The Home Depot, Inc.</x:v>
      </x:c>
      <x:c r="D33" s="1" t="str">
        <x:v>HD</x:v>
      </x:c>
      <x:c r="E33" s="1" t="n">
        <x:v>2021</x:v>
      </x:c>
      <x:c r="F33" s="12" t="n">
        <x:v>44591</x:v>
      </x:c>
      <x:c r="G33" s="1" t="str">
        <x:v>Cash Flow</x:v>
      </x:c>
      <x:c r="H33" s="1" t="str">
        <x:v>Change in A/P &amp; Accrued Liabilities</x:v>
      </x:c>
      <x:c r="I33" s="14" t="n">
        <x:v>2401</x:v>
      </x:c>
      <x:c r="J33" s="1" t="str">
        <x:v>SEC Company Facts comparative 10-K data</x:v>
      </x:c>
      <x:c r="K33" s="1"/>
      <x:c r="L33" s="1" t="str">
        <x:v>Capital Expenditures</x:v>
      </x:c>
      <x:c r="M33" s="14" t="n">
        <x:v>2566</x:v>
      </x:c>
      <x:c r="N33" s="14" t="n">
        <x:v>3119</x:v>
      </x:c>
      <x:c r="O33" s="14" t="n">
        <x:v>3226</x:v>
      </x:c>
      <x:c r="P33" s="14" t="n">
        <x:v>3485</x:v>
      </x:c>
      <x:c r="Q33" s="14" t="n">
        <x:v>3679</x:v>
      </x:c>
      <x:c r="R33" s="1" t="str">
        <x:v>https://www.sec.gov/Archives/edgar/data/354950/000162828026019436/hd-20260201.htm</x:v>
      </x:c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 t="str">
        <x:v>The Home Depot, Inc.</x:v>
      </x:c>
      <x:c r="D34" s="1" t="str">
        <x:v>HD</x:v>
      </x:c>
      <x:c r="E34" s="1" t="n">
        <x:v>2021</x:v>
      </x:c>
      <x:c r="F34" s="12" t="n">
        <x:v>44591</x:v>
      </x:c>
      <x:c r="G34" s="1" t="str">
        <x:v>Cash Flow</x:v>
      </x:c>
      <x:c r="H34" s="1" t="str">
        <x:v>Capital Expenditures</x:v>
      </x:c>
      <x:c r="I34" s="14" t="n">
        <x:v>2566</x:v>
      </x:c>
      <x:c r="J34" s="1" t="str">
        <x:v>SEC Company Facts comparative 10-K data</x:v>
      </x:c>
      <x:c r="K34" s="1"/>
      <x:c r="L34" s="1" t="str">
        <x:v>Business Acquisitions</x:v>
      </x:c>
      <x:c r="M34" s="14" t="n">
        <x:v>421</x:v>
      </x:c>
      <x:c r="N34" s="14" t="n">
        <x:v>0</x:v>
      </x:c>
      <x:c r="O34" s="14" t="n">
        <x:v>1514</x:v>
      </x:c>
      <x:c r="P34" s="14" t="n">
        <x:v>17644</x:v>
      </x:c>
      <x:c r="Q34" s="14" t="n">
        <x:v>5410</x:v>
      </x:c>
      <x:c r="R34" s="1" t="str">
        <x:v>https://www.sec.gov/Archives/edgar/data/354950/000162828026019436/hd-20260201.htm</x:v>
      </x:c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 t="str">
        <x:v>The Home Depot, Inc.</x:v>
      </x:c>
      <x:c r="D35" s="1" t="str">
        <x:v>HD</x:v>
      </x:c>
      <x:c r="E35" s="1" t="n">
        <x:v>2021</x:v>
      </x:c>
      <x:c r="F35" s="12" t="n">
        <x:v>44591</x:v>
      </x:c>
      <x:c r="G35" s="1" t="str">
        <x:v>Cash Flow</x:v>
      </x:c>
      <x:c r="H35" s="1" t="str">
        <x:v>Business Acquisitions</x:v>
      </x:c>
      <x:c r="I35" s="14" t="n">
        <x:v>421</x:v>
      </x:c>
      <x:c r="J35" s="1" t="str">
        <x:v>SEC Company Facts comparative 10-K data</x:v>
      </x:c>
      <x:c r="K35" s="1"/>
      <x:c r="L35" s="1" t="str">
        <x:v>Investing Cash Flow</x:v>
      </x:c>
      <x:c r="M35" s="14" t="n">
        <x:v>-2969</x:v>
      </x:c>
      <x:c r="N35" s="14" t="n">
        <x:v>-3140</x:v>
      </x:c>
      <x:c r="O35" s="14" t="n">
        <x:v>-4729</x:v>
      </x:c>
      <x:c r="P35" s="14" t="n">
        <x:v>-21031</x:v>
      </x:c>
      <x:c r="Q35" s="14" t="n">
        <x:v>-8980</x:v>
      </x:c>
      <x:c r="R35" s="1" t="str">
        <x:v>https://www.sec.gov/Archives/edgar/data/354950/000162828026019436/hd-20260201.htm</x:v>
      </x:c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 t="str">
        <x:v>The Home Depot, Inc.</x:v>
      </x:c>
      <x:c r="D36" s="1" t="str">
        <x:v>HD</x:v>
      </x:c>
      <x:c r="E36" s="1" t="n">
        <x:v>2021</x:v>
      </x:c>
      <x:c r="F36" s="12" t="n">
        <x:v>44591</x:v>
      </x:c>
      <x:c r="G36" s="1" t="str">
        <x:v>Cash Flow</x:v>
      </x:c>
      <x:c r="H36" s="1" t="str">
        <x:v>Investing Cash Flow</x:v>
      </x:c>
      <x:c r="I36" s="14" t="n">
        <x:v>-2969</x:v>
      </x:c>
      <x:c r="J36" s="1" t="str">
        <x:v>SEC Company Facts comparative 10-K data</x:v>
      </x:c>
      <x:c r="K36" s="1"/>
      <x:c r="L36" s="1" t="str">
        <x:v>Share Repurchases</x:v>
      </x:c>
      <x:c r="M36" s="14" t="n">
        <x:v>14809</x:v>
      </x:c>
      <x:c r="N36" s="14" t="n">
        <x:v>6696</x:v>
      </x:c>
      <x:c r="O36" s="14" t="n">
        <x:v>7951</x:v>
      </x:c>
      <x:c r="P36" s="14" t="n">
        <x:v>649</x:v>
      </x:c>
      <x:c r="Q36" s="14" t="n">
        <x:v>0</x:v>
      </x:c>
      <x:c r="R36" s="1" t="str">
        <x:v>https://www.sec.gov/Archives/edgar/data/354950/000162828026019436/hd-20260201.htm</x:v>
      </x:c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 t="str">
        <x:v>The Home Depot, Inc.</x:v>
      </x:c>
      <x:c r="D37" s="1" t="str">
        <x:v>HD</x:v>
      </x:c>
      <x:c r="E37" s="1" t="n">
        <x:v>2021</x:v>
      </x:c>
      <x:c r="F37" s="12" t="n">
        <x:v>44591</x:v>
      </x:c>
      <x:c r="G37" s="1" t="str">
        <x:v>Cash Flow</x:v>
      </x:c>
      <x:c r="H37" s="1" t="str">
        <x:v>Share Repurchases</x:v>
      </x:c>
      <x:c r="I37" s="14" t="n">
        <x:v>14809</x:v>
      </x:c>
      <x:c r="J37" s="1" t="str">
        <x:v>SEC Company Facts comparative 10-K data</x:v>
      </x:c>
      <x:c r="K37" s="1"/>
      <x:c r="L37" s="1" t="str">
        <x:v>Dividends Paid</x:v>
      </x:c>
      <x:c r="M37" s="14" t="n">
        <x:v>6985</x:v>
      </x:c>
      <x:c r="N37" s="14" t="n">
        <x:v>7789</x:v>
      </x:c>
      <x:c r="O37" s="14" t="n">
        <x:v>8383</x:v>
      </x:c>
      <x:c r="P37" s="14" t="n">
        <x:v>8929</x:v>
      </x:c>
      <x:c r="Q37" s="14" t="n">
        <x:v>9152</x:v>
      </x:c>
      <x:c r="R37" s="1" t="str">
        <x:v>https://www.sec.gov/Archives/edgar/data/354950/000162828026019436/hd-20260201.htm</x:v>
      </x:c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 t="str">
        <x:v>The Home Depot, Inc.</x:v>
      </x:c>
      <x:c r="D38" s="1" t="str">
        <x:v>HD</x:v>
      </x:c>
      <x:c r="E38" s="1" t="n">
        <x:v>2021</x:v>
      </x:c>
      <x:c r="F38" s="12" t="n">
        <x:v>44591</x:v>
      </x:c>
      <x:c r="G38" s="1" t="str">
        <x:v>Cash Flow</x:v>
      </x:c>
      <x:c r="H38" s="1" t="str">
        <x:v>Dividends Paid</x:v>
      </x:c>
      <x:c r="I38" s="14" t="n">
        <x:v>6985</x:v>
      </x:c>
      <x:c r="J38" s="1" t="str">
        <x:v>SEC Company Facts comparative 10-K data</x:v>
      </x:c>
      <x:c r="K38" s="1"/>
      <x:c r="L38" s="1" t="str">
        <x:v>Financing Cash Flow</x:v>
      </x:c>
      <x:c r="M38" s="14" t="n">
        <x:v>-19120</x:v>
      </x:c>
      <x:c r="N38" s="14" t="n">
        <x:v>-10993</x:v>
      </x:c>
      <x:c r="O38" s="14" t="n">
        <x:v>-15443</x:v>
      </x:c>
      <x:c r="P38" s="14" t="n">
        <x:v>-694</x:v>
      </x:c>
      <x:c r="Q38" s="14" t="n">
        <x:v>-7714</x:v>
      </x:c>
      <x:c r="R38" s="1" t="str">
        <x:v>https://www.sec.gov/Archives/edgar/data/354950/000162828026019436/hd-20260201.htm</x:v>
      </x:c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 t="str">
        <x:v>The Home Depot, Inc.</x:v>
      </x:c>
      <x:c r="D39" s="1" t="str">
        <x:v>HD</x:v>
      </x:c>
      <x:c r="E39" s="1" t="n">
        <x:v>2021</x:v>
      </x:c>
      <x:c r="F39" s="12" t="n">
        <x:v>44591</x:v>
      </x:c>
      <x:c r="G39" s="1" t="str">
        <x:v>Cash Flow</x:v>
      </x:c>
      <x:c r="H39" s="1" t="str">
        <x:v>Financing Cash Flow</x:v>
      </x:c>
      <x:c r="I39" s="14" t="n">
        <x:v>-19120</x:v>
      </x:c>
      <x:c r="J39" s="1" t="str">
        <x:v>SEC Company Facts comparative 10-K data</x:v>
      </x:c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 t="str">
        <x:v>The Home Depot, Inc.</x:v>
      </x:c>
      <x:c r="D40" s="1" t="str">
        <x:v>HD</x:v>
      </x:c>
      <x:c r="E40" s="1" t="n">
        <x:v>2022</x:v>
      </x:c>
      <x:c r="F40" s="12" t="n">
        <x:v>44955</x:v>
      </x:c>
      <x:c r="G40" s="1" t="str">
        <x:v>Income Statement</x:v>
      </x:c>
      <x:c r="H40" s="1" t="str">
        <x:v>Revenue</x:v>
      </x:c>
      <x:c r="I40" s="14" t="n">
        <x:v>157403</x:v>
      </x:c>
      <x:c r="J40" s="1" t="str">
        <x:v>SEC Company Facts comparative 10-K data</x:v>
      </x:c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 t="str">
        <x:v>The Home Depot, Inc.</x:v>
      </x:c>
      <x:c r="D41" s="1" t="str">
        <x:v>HD</x:v>
      </x:c>
      <x:c r="E41" s="1" t="n">
        <x:v>2022</x:v>
      </x:c>
      <x:c r="F41" s="12" t="n">
        <x:v>44955</x:v>
      </x:c>
      <x:c r="G41" s="1" t="str">
        <x:v>Income Statement</x:v>
      </x:c>
      <x:c r="H41" s="1" t="str">
        <x:v>Cost of Sales</x:v>
      </x:c>
      <x:c r="I41" s="14" t="n">
        <x:v>104625</x:v>
      </x:c>
      <x:c r="J41" s="1" t="str">
        <x:v>SEC Company Facts comparative 10-K data</x:v>
      </x:c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 t="str">
        <x:v>The Home Depot, Inc.</x:v>
      </x:c>
      <x:c r="D42" s="1" t="str">
        <x:v>HD</x:v>
      </x:c>
      <x:c r="E42" s="1" t="n">
        <x:v>2022</x:v>
      </x:c>
      <x:c r="F42" s="12" t="n">
        <x:v>44955</x:v>
      </x:c>
      <x:c r="G42" s="1" t="str">
        <x:v>Income Statement</x:v>
      </x:c>
      <x:c r="H42" s="1" t="str">
        <x:v>Gross Profit</x:v>
      </x:c>
      <x:c r="I42" s="14" t="n">
        <x:v>52778</x:v>
      </x:c>
      <x:c r="J42" s="1" t="str">
        <x:v>SEC Company Facts comparative 10-K data</x:v>
      </x:c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 t="str">
        <x:v>The Home Depot, Inc.</x:v>
      </x:c>
      <x:c r="D43" s="1" t="str">
        <x:v>HD</x:v>
      </x:c>
      <x:c r="E43" s="1" t="n">
        <x:v>2022</x:v>
      </x:c>
      <x:c r="F43" s="12" t="n">
        <x:v>44955</x:v>
      </x:c>
      <x:c r="G43" s="1" t="str">
        <x:v>Income Statement</x:v>
      </x:c>
      <x:c r="H43" s="1" t="str">
        <x:v>SG&amp;A</x:v>
      </x:c>
      <x:c r="I43" s="14" t="n">
        <x:v>26284</x:v>
      </x:c>
      <x:c r="J43" s="1" t="str">
        <x:v>SEC Company Facts comparative 10-K data</x:v>
      </x:c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 t="str">
        <x:v>The Home Depot, Inc.</x:v>
      </x:c>
      <x:c r="D44" s="1" t="str">
        <x:v>HD</x:v>
      </x:c>
      <x:c r="E44" s="1" t="n">
        <x:v>2022</x:v>
      </x:c>
      <x:c r="F44" s="12" t="n">
        <x:v>44955</x:v>
      </x:c>
      <x:c r="G44" s="1" t="str">
        <x:v>Income Statement</x:v>
      </x:c>
      <x:c r="H44" s="1" t="str">
        <x:v>Depreciation &amp; Amortization Expense</x:v>
      </x:c>
      <x:c r="I44" s="14" t="n">
        <x:v>2455</x:v>
      </x:c>
      <x:c r="J44" s="1" t="str">
        <x:v>SEC Company Facts comparative 10-K data</x:v>
      </x:c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 t="str">
        <x:v>The Home Depot, Inc.</x:v>
      </x:c>
      <x:c r="D45" s="1" t="str">
        <x:v>HD</x:v>
      </x:c>
      <x:c r="E45" s="1" t="n">
        <x:v>2022</x:v>
      </x:c>
      <x:c r="F45" s="12" t="n">
        <x:v>44955</x:v>
      </x:c>
      <x:c r="G45" s="1" t="str">
        <x:v>Income Statement</x:v>
      </x:c>
      <x:c r="H45" s="1" t="str">
        <x:v>Operating Income</x:v>
      </x:c>
      <x:c r="I45" s="14" t="n">
        <x:v>24039</x:v>
      </x:c>
      <x:c r="J45" s="1" t="str">
        <x:v>SEC Company Facts comparative 10-K data</x:v>
      </x:c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 t="str">
        <x:v>The Home Depot, Inc.</x:v>
      </x:c>
      <x:c r="D46" s="1" t="str">
        <x:v>HD</x:v>
      </x:c>
      <x:c r="E46" s="1" t="n">
        <x:v>2022</x:v>
      </x:c>
      <x:c r="F46" s="12" t="n">
        <x:v>44955</x:v>
      </x:c>
      <x:c r="G46" s="1" t="str">
        <x:v>Income Statement</x:v>
      </x:c>
      <x:c r="H46" s="1" t="str">
        <x:v>Interest Expense</x:v>
      </x:c>
      <x:c r="I46" s="14" t="n">
        <x:v>1617</x:v>
      </x:c>
      <x:c r="J46" s="1" t="str">
        <x:v>SEC Company Facts comparative 10-K data</x:v>
      </x:c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 t="str">
        <x:v>The Home Depot, Inc.</x:v>
      </x:c>
      <x:c r="D47" s="1" t="str">
        <x:v>HD</x:v>
      </x:c>
      <x:c r="E47" s="1" t="n">
        <x:v>2022</x:v>
      </x:c>
      <x:c r="F47" s="12" t="n">
        <x:v>44955</x:v>
      </x:c>
      <x:c r="G47" s="1" t="str">
        <x:v>Income Statement</x:v>
      </x:c>
      <x:c r="H47" s="1" t="str">
        <x:v>Income Before Tax</x:v>
      </x:c>
      <x:c r="I47" s="14" t="n">
        <x:v>22477</x:v>
      </x:c>
      <x:c r="J47" s="1" t="str">
        <x:v>SEC Company Facts comparative 10-K data</x:v>
      </x:c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 t="str">
        <x:v>The Home Depot, Inc.</x:v>
      </x:c>
      <x:c r="D48" s="1" t="str">
        <x:v>HD</x:v>
      </x:c>
      <x:c r="E48" s="1" t="n">
        <x:v>2022</x:v>
      </x:c>
      <x:c r="F48" s="12" t="n">
        <x:v>44955</x:v>
      </x:c>
      <x:c r="G48" s="1" t="str">
        <x:v>Income Statement</x:v>
      </x:c>
      <x:c r="H48" s="1" t="str">
        <x:v>Income Tax Expense</x:v>
      </x:c>
      <x:c r="I48" s="14" t="n">
        <x:v>5372</x:v>
      </x:c>
      <x:c r="J48" s="1" t="str">
        <x:v>SEC Company Facts comparative 10-K data</x:v>
      </x:c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 t="str">
        <x:v>The Home Depot, Inc.</x:v>
      </x:c>
      <x:c r="D49" s="1" t="str">
        <x:v>HD</x:v>
      </x:c>
      <x:c r="E49" s="1" t="n">
        <x:v>2022</x:v>
      </x:c>
      <x:c r="F49" s="12" t="n">
        <x:v>44955</x:v>
      </x:c>
      <x:c r="G49" s="1" t="str">
        <x:v>Income Statement</x:v>
      </x:c>
      <x:c r="H49" s="1" t="str">
        <x:v>Net Income</x:v>
      </x:c>
      <x:c r="I49" s="14" t="n">
        <x:v>17105</x:v>
      </x:c>
      <x:c r="J49" s="1" t="str">
        <x:v>SEC Company Facts comparative 10-K data</x:v>
      </x:c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 t="str">
        <x:v>The Home Depot, Inc.</x:v>
      </x:c>
      <x:c r="D50" s="1" t="str">
        <x:v>HD</x:v>
      </x:c>
      <x:c r="E50" s="1" t="n">
        <x:v>2022</x:v>
      </x:c>
      <x:c r="F50" s="12" t="n">
        <x:v>44955</x:v>
      </x:c>
      <x:c r="G50" s="1" t="str">
        <x:v>Balance Sheet</x:v>
      </x:c>
      <x:c r="H50" s="1" t="str">
        <x:v>Cash &amp; Equivalents</x:v>
      </x:c>
      <x:c r="I50" s="14" t="n">
        <x:v>2757</x:v>
      </x:c>
      <x:c r="J50" s="1" t="str">
        <x:v>SEC Company Facts comparative 10-K data</x:v>
      </x:c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 t="str">
        <x:v>The Home Depot, Inc.</x:v>
      </x:c>
      <x:c r="D51" s="1" t="str">
        <x:v>HD</x:v>
      </x:c>
      <x:c r="E51" s="1" t="n">
        <x:v>2022</x:v>
      </x:c>
      <x:c r="F51" s="12" t="n">
        <x:v>44955</x:v>
      </x:c>
      <x:c r="G51" s="1" t="str">
        <x:v>Balance Sheet</x:v>
      </x:c>
      <x:c r="H51" s="1" t="str">
        <x:v>Accounts Receivable</x:v>
      </x:c>
      <x:c r="I51" s="14" t="n">
        <x:v>3317</x:v>
      </x:c>
      <x:c r="J51" s="1" t="str">
        <x:v>SEC Company Facts comparative 10-K data</x:v>
      </x:c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 t="str">
        <x:v>The Home Depot, Inc.</x:v>
      </x:c>
      <x:c r="D52" s="1" t="str">
        <x:v>HD</x:v>
      </x:c>
      <x:c r="E52" s="1" t="n">
        <x:v>2022</x:v>
      </x:c>
      <x:c r="F52" s="12" t="n">
        <x:v>44955</x:v>
      </x:c>
      <x:c r="G52" s="1" t="str">
        <x:v>Balance Sheet</x:v>
      </x:c>
      <x:c r="H52" s="1" t="str">
        <x:v>Inventory</x:v>
      </x:c>
      <x:c r="I52" s="14" t="n">
        <x:v>24886</x:v>
      </x:c>
      <x:c r="J52" s="1" t="str">
        <x:v>SEC Company Facts comparative 10-K data</x:v>
      </x:c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 t="str">
        <x:v>The Home Depot, Inc.</x:v>
      </x:c>
      <x:c r="D53" s="1" t="str">
        <x:v>HD</x:v>
      </x:c>
      <x:c r="E53" s="1" t="n">
        <x:v>2022</x:v>
      </x:c>
      <x:c r="F53" s="12" t="n">
        <x:v>44955</x:v>
      </x:c>
      <x:c r="G53" s="1" t="str">
        <x:v>Balance Sheet</x:v>
      </x:c>
      <x:c r="H53" s="1" t="str">
        <x:v>Current Assets</x:v>
      </x:c>
      <x:c r="I53" s="14" t="n">
        <x:v>32471</x:v>
      </x:c>
      <x:c r="J53" s="1" t="str">
        <x:v>SEC Company Facts comparative 10-K data</x:v>
      </x:c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 t="str">
        <x:v>The Home Depot, Inc.</x:v>
      </x:c>
      <x:c r="D54" s="1" t="str">
        <x:v>HD</x:v>
      </x:c>
      <x:c r="E54" s="1" t="n">
        <x:v>2022</x:v>
      </x:c>
      <x:c r="F54" s="12" t="n">
        <x:v>44955</x:v>
      </x:c>
      <x:c r="G54" s="1" t="str">
        <x:v>Balance Sheet</x:v>
      </x:c>
      <x:c r="H54" s="1" t="str">
        <x:v>Total Assets</x:v>
      </x:c>
      <x:c r="I54" s="14" t="n">
        <x:v>76445</x:v>
      </x:c>
      <x:c r="J54" s="1" t="str">
        <x:v>SEC Company Facts comparative 10-K data</x:v>
      </x:c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 t="str">
        <x:v>The Home Depot, Inc.</x:v>
      </x:c>
      <x:c r="D55" s="1" t="str">
        <x:v>HD</x:v>
      </x:c>
      <x:c r="E55" s="1" t="n">
        <x:v>2022</x:v>
      </x:c>
      <x:c r="F55" s="12" t="n">
        <x:v>44955</x:v>
      </x:c>
      <x:c r="G55" s="1" t="str">
        <x:v>Balance Sheet</x:v>
      </x:c>
      <x:c r="H55" s="1" t="str">
        <x:v>Accounts Payable</x:v>
      </x:c>
      <x:c r="I55" s="14" t="n">
        <x:v>11443</x:v>
      </x:c>
      <x:c r="J55" s="1" t="str">
        <x:v>SEC Company Facts comparative 10-K data</x:v>
      </x:c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 t="str">
        <x:v>The Home Depot, Inc.</x:v>
      </x:c>
      <x:c r="D56" s="1" t="str">
        <x:v>HD</x:v>
      </x:c>
      <x:c r="E56" s="1" t="n">
        <x:v>2022</x:v>
      </x:c>
      <x:c r="F56" s="12" t="n">
        <x:v>44955</x:v>
      </x:c>
      <x:c r="G56" s="1" t="str">
        <x:v>Balance Sheet</x:v>
      </x:c>
      <x:c r="H56" s="1" t="str">
        <x:v>Current Liabilities</x:v>
      </x:c>
      <x:c r="I56" s="14" t="n">
        <x:v>23110</x:v>
      </x:c>
      <x:c r="J56" s="1" t="str">
        <x:v>SEC Company Facts comparative 10-K data</x:v>
      </x:c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 t="str">
        <x:v>The Home Depot, Inc.</x:v>
      </x:c>
      <x:c r="D57" s="1" t="str">
        <x:v>HD</x:v>
      </x:c>
      <x:c r="E57" s="1" t="n">
        <x:v>2022</x:v>
      </x:c>
      <x:c r="F57" s="12" t="n">
        <x:v>44955</x:v>
      </x:c>
      <x:c r="G57" s="1" t="str">
        <x:v>Balance Sheet</x:v>
      </x:c>
      <x:c r="H57" s="1" t="str">
        <x:v>Current Debt</x:v>
      </x:c>
      <x:c r="I57" s="14" t="n">
        <x:v>1231</x:v>
      </x:c>
      <x:c r="J57" s="1" t="str">
        <x:v>SEC Company Facts comparative 10-K data</x:v>
      </x:c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 t="str">
        <x:v>The Home Depot, Inc.</x:v>
      </x:c>
      <x:c r="D58" s="1" t="str">
        <x:v>HD</x:v>
      </x:c>
      <x:c r="E58" s="1" t="n">
        <x:v>2022</x:v>
      </x:c>
      <x:c r="F58" s="12" t="n">
        <x:v>44955</x:v>
      </x:c>
      <x:c r="G58" s="1" t="str">
        <x:v>Balance Sheet</x:v>
      </x:c>
      <x:c r="H58" s="1" t="str">
        <x:v>Long-term Debt</x:v>
      </x:c>
      <x:c r="I58" s="14" t="n">
        <x:v>41962</x:v>
      </x:c>
      <x:c r="J58" s="1" t="str">
        <x:v>SEC Company Facts comparative 10-K data</x:v>
      </x:c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 t="str">
        <x:v>The Home Depot, Inc.</x:v>
      </x:c>
      <x:c r="D59" s="1" t="str">
        <x:v>HD</x:v>
      </x:c>
      <x:c r="E59" s="1" t="n">
        <x:v>2022</x:v>
      </x:c>
      <x:c r="F59" s="12" t="n">
        <x:v>44955</x:v>
      </x:c>
      <x:c r="G59" s="1" t="str">
        <x:v>Balance Sheet</x:v>
      </x:c>
      <x:c r="H59" s="1" t="str">
        <x:v>Operating Lease Liabilities</x:v>
      </x:c>
      <x:c r="I59" s="14" t="n">
        <x:v>7171</x:v>
      </x:c>
      <x:c r="J59" s="1" t="str">
        <x:v>SEC Company Facts comparative 10-K data</x:v>
      </x:c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 t="str">
        <x:v>The Home Depot, Inc.</x:v>
      </x:c>
      <x:c r="D60" s="1" t="str">
        <x:v>HD</x:v>
      </x:c>
      <x:c r="E60" s="1" t="n">
        <x:v>2022</x:v>
      </x:c>
      <x:c r="F60" s="12" t="n">
        <x:v>44955</x:v>
      </x:c>
      <x:c r="G60" s="1" t="str">
        <x:v>Balance Sheet</x:v>
      </x:c>
      <x:c r="H60" s="1" t="str">
        <x:v>Total Liabilities</x:v>
      </x:c>
      <x:c r="I60" s="14" t="n">
        <x:v>74883</x:v>
      </x:c>
      <x:c r="J60" s="1" t="str">
        <x:v>SEC Company Facts comparative 10-K data</x:v>
      </x:c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 t="str">
        <x:v>The Home Depot, Inc.</x:v>
      </x:c>
      <x:c r="D61" s="1" t="str">
        <x:v>HD</x:v>
      </x:c>
      <x:c r="E61" s="1" t="n">
        <x:v>2022</x:v>
      </x:c>
      <x:c r="F61" s="12" t="n">
        <x:v>44955</x:v>
      </x:c>
      <x:c r="G61" s="1" t="str">
        <x:v>Balance Sheet</x:v>
      </x:c>
      <x:c r="H61" s="1" t="str">
        <x:v>Stockholders' Equity</x:v>
      </x:c>
      <x:c r="I61" s="14" t="n">
        <x:v>1562</x:v>
      </x:c>
      <x:c r="J61" s="1" t="str">
        <x:v>SEC Company Facts comparative 10-K data</x:v>
      </x:c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 t="str">
        <x:v>The Home Depot, Inc.</x:v>
      </x:c>
      <x:c r="D62" s="1" t="str">
        <x:v>HD</x:v>
      </x:c>
      <x:c r="E62" s="1" t="n">
        <x:v>2022</x:v>
      </x:c>
      <x:c r="F62" s="12" t="n">
        <x:v>44955</x:v>
      </x:c>
      <x:c r="G62" s="1" t="str">
        <x:v>Cash Flow</x:v>
      </x:c>
      <x:c r="H62" s="1" t="str">
        <x:v>Operating Cash Flow</x:v>
      </x:c>
      <x:c r="I62" s="14" t="n">
        <x:v>14615</x:v>
      </x:c>
      <x:c r="J62" s="1" t="str">
        <x:v>SEC Company Facts comparative 10-K data</x:v>
      </x:c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 t="str">
        <x:v>The Home Depot, Inc.</x:v>
      </x:c>
      <x:c r="D63" s="1" t="str">
        <x:v>HD</x:v>
      </x:c>
      <x:c r="E63" s="1" t="n">
        <x:v>2022</x:v>
      </x:c>
      <x:c r="F63" s="12" t="n">
        <x:v>44955</x:v>
      </x:c>
      <x:c r="G63" s="1" t="str">
        <x:v>Cash Flow</x:v>
      </x:c>
      <x:c r="H63" s="1" t="str">
        <x:v>D&amp;A Add-back</x:v>
      </x:c>
      <x:c r="I63" s="14" t="n">
        <x:v>2796</x:v>
      </x:c>
      <x:c r="J63" s="1" t="str">
        <x:v>SEC Company Facts comparative 10-K data</x:v>
      </x:c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 t="str">
        <x:v>The Home Depot, Inc.</x:v>
      </x:c>
      <x:c r="D64" s="1" t="str">
        <x:v>HD</x:v>
      </x:c>
      <x:c r="E64" s="1" t="n">
        <x:v>2022</x:v>
      </x:c>
      <x:c r="F64" s="12" t="n">
        <x:v>44955</x:v>
      </x:c>
      <x:c r="G64" s="1" t="str">
        <x:v>Cash Flow</x:v>
      </x:c>
      <x:c r="H64" s="1" t="str">
        <x:v>Change in Receivables</x:v>
      </x:c>
      <x:c r="I64" s="14" t="n">
        <x:v>-111</x:v>
      </x:c>
      <x:c r="J64" s="1" t="str">
        <x:v>SEC Company Facts comparative 10-K data</x:v>
      </x:c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 t="str">
        <x:v>The Home Depot, Inc.</x:v>
      </x:c>
      <x:c r="D65" s="1" t="str">
        <x:v>HD</x:v>
      </x:c>
      <x:c r="E65" s="1" t="n">
        <x:v>2022</x:v>
      </x:c>
      <x:c r="F65" s="12" t="n">
        <x:v>44955</x:v>
      </x:c>
      <x:c r="G65" s="1" t="str">
        <x:v>Cash Flow</x:v>
      </x:c>
      <x:c r="H65" s="1" t="str">
        <x:v>Change in Inventory</x:v>
      </x:c>
      <x:c r="I65" s="14"/>
      <x:c r="J65" s="1" t="str">
        <x:v>SEC Company Facts comparative 10-K data</x:v>
      </x:c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 t="str">
        <x:v>The Home Depot, Inc.</x:v>
      </x:c>
      <x:c r="D66" s="1" t="str">
        <x:v>HD</x:v>
      </x:c>
      <x:c r="E66" s="1" t="n">
        <x:v>2022</x:v>
      </x:c>
      <x:c r="F66" s="12" t="n">
        <x:v>44955</x:v>
      </x:c>
      <x:c r="G66" s="1" t="str">
        <x:v>Cash Flow</x:v>
      </x:c>
      <x:c r="H66" s="1" t="str">
        <x:v>Change in A/P &amp; Accrued Liabilities</x:v>
      </x:c>
      <x:c r="I66" s="14" t="n">
        <x:v>-2577</x:v>
      </x:c>
      <x:c r="J66" s="1" t="str">
        <x:v>SEC Company Facts comparative 10-K data</x:v>
      </x:c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 t="str">
        <x:v>The Home Depot, Inc.</x:v>
      </x:c>
      <x:c r="D67" s="1" t="str">
        <x:v>HD</x:v>
      </x:c>
      <x:c r="E67" s="1" t="n">
        <x:v>2022</x:v>
      </x:c>
      <x:c r="F67" s="12" t="n">
        <x:v>44955</x:v>
      </x:c>
      <x:c r="G67" s="1" t="str">
        <x:v>Cash Flow</x:v>
      </x:c>
      <x:c r="H67" s="1" t="str">
        <x:v>Capital Expenditures</x:v>
      </x:c>
      <x:c r="I67" s="14" t="n">
        <x:v>3119</x:v>
      </x:c>
      <x:c r="J67" s="1" t="str">
        <x:v>SEC Company Facts comparative 10-K data</x:v>
      </x:c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 t="str">
        <x:v>The Home Depot, Inc.</x:v>
      </x:c>
      <x:c r="D68" s="1" t="str">
        <x:v>HD</x:v>
      </x:c>
      <x:c r="E68" s="1" t="n">
        <x:v>2022</x:v>
      </x:c>
      <x:c r="F68" s="12" t="n">
        <x:v>44955</x:v>
      </x:c>
      <x:c r="G68" s="1" t="str">
        <x:v>Cash Flow</x:v>
      </x:c>
      <x:c r="H68" s="1" t="str">
        <x:v>Business Acquisitions</x:v>
      </x:c>
      <x:c r="I68" s="14" t="n">
        <x:v>0</x:v>
      </x:c>
      <x:c r="J68" s="1" t="str">
        <x:v>SEC Company Facts comparative 10-K data</x:v>
      </x:c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 t="str">
        <x:v>The Home Depot, Inc.</x:v>
      </x:c>
      <x:c r="D69" s="1" t="str">
        <x:v>HD</x:v>
      </x:c>
      <x:c r="E69" s="1" t="n">
        <x:v>2022</x:v>
      </x:c>
      <x:c r="F69" s="12" t="n">
        <x:v>44955</x:v>
      </x:c>
      <x:c r="G69" s="1" t="str">
        <x:v>Cash Flow</x:v>
      </x:c>
      <x:c r="H69" s="1" t="str">
        <x:v>Investing Cash Flow</x:v>
      </x:c>
      <x:c r="I69" s="14" t="n">
        <x:v>-3140</x:v>
      </x:c>
      <x:c r="J69" s="1" t="str">
        <x:v>SEC Company Facts comparative 10-K data</x:v>
      </x:c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 t="str">
        <x:v>The Home Depot, Inc.</x:v>
      </x:c>
      <x:c r="D70" s="1" t="str">
        <x:v>HD</x:v>
      </x:c>
      <x:c r="E70" s="1" t="n">
        <x:v>2022</x:v>
      </x:c>
      <x:c r="F70" s="12" t="n">
        <x:v>44955</x:v>
      </x:c>
      <x:c r="G70" s="1" t="str">
        <x:v>Cash Flow</x:v>
      </x:c>
      <x:c r="H70" s="1" t="str">
        <x:v>Share Repurchases</x:v>
      </x:c>
      <x:c r="I70" s="14" t="n">
        <x:v>6696</x:v>
      </x:c>
      <x:c r="J70" s="1" t="str">
        <x:v>SEC Company Facts comparative 10-K data</x:v>
      </x:c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 t="str">
        <x:v>The Home Depot, Inc.</x:v>
      </x:c>
      <x:c r="D71" s="1" t="str">
        <x:v>HD</x:v>
      </x:c>
      <x:c r="E71" s="1" t="n">
        <x:v>2022</x:v>
      </x:c>
      <x:c r="F71" s="12" t="n">
        <x:v>44955</x:v>
      </x:c>
      <x:c r="G71" s="1" t="str">
        <x:v>Cash Flow</x:v>
      </x:c>
      <x:c r="H71" s="1" t="str">
        <x:v>Dividends Paid</x:v>
      </x:c>
      <x:c r="I71" s="14" t="n">
        <x:v>7789</x:v>
      </x:c>
      <x:c r="J71" s="1" t="str">
        <x:v>SEC Company Facts comparative 10-K data</x:v>
      </x:c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 t="str">
        <x:v>The Home Depot, Inc.</x:v>
      </x:c>
      <x:c r="D72" s="1" t="str">
        <x:v>HD</x:v>
      </x:c>
      <x:c r="E72" s="1" t="n">
        <x:v>2022</x:v>
      </x:c>
      <x:c r="F72" s="12" t="n">
        <x:v>44955</x:v>
      </x:c>
      <x:c r="G72" s="1" t="str">
        <x:v>Cash Flow</x:v>
      </x:c>
      <x:c r="H72" s="1" t="str">
        <x:v>Financing Cash Flow</x:v>
      </x:c>
      <x:c r="I72" s="14" t="n">
        <x:v>-10993</x:v>
      </x:c>
      <x:c r="J72" s="1" t="str">
        <x:v>SEC Company Facts comparative 10-K data</x:v>
      </x:c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 t="str">
        <x:v>The Home Depot, Inc.</x:v>
      </x:c>
      <x:c r="D73" s="1" t="str">
        <x:v>HD</x:v>
      </x:c>
      <x:c r="E73" s="1" t="n">
        <x:v>2023</x:v>
      </x:c>
      <x:c r="F73" s="12" t="n">
        <x:v>45319</x:v>
      </x:c>
      <x:c r="G73" s="1" t="str">
        <x:v>Income Statement</x:v>
      </x:c>
      <x:c r="H73" s="1" t="str">
        <x:v>Revenue</x:v>
      </x:c>
      <x:c r="I73" s="14" t="n">
        <x:v>152669</x:v>
      </x:c>
      <x:c r="J73" s="1" t="str">
        <x:v>https://www.sec.gov/Archives/edgar/data/354950/000162828026019436/hd-20260201.htm</x:v>
      </x:c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 t="str">
        <x:v>The Home Depot, Inc.</x:v>
      </x:c>
      <x:c r="D74" s="1" t="str">
        <x:v>HD</x:v>
      </x:c>
      <x:c r="E74" s="1" t="n">
        <x:v>2023</x:v>
      </x:c>
      <x:c r="F74" s="12" t="n">
        <x:v>45319</x:v>
      </x:c>
      <x:c r="G74" s="1" t="str">
        <x:v>Income Statement</x:v>
      </x:c>
      <x:c r="H74" s="1" t="str">
        <x:v>Cost of Sales</x:v>
      </x:c>
      <x:c r="I74" s="14" t="n">
        <x:v>101709</x:v>
      </x:c>
      <x:c r="J74" s="1" t="str">
        <x:v>https://www.sec.gov/Archives/edgar/data/354950/000162828026019436/hd-20260201.htm</x:v>
      </x:c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 t="str">
        <x:v>The Home Depot, Inc.</x:v>
      </x:c>
      <x:c r="D75" s="1" t="str">
        <x:v>HD</x:v>
      </x:c>
      <x:c r="E75" s="1" t="n">
        <x:v>2023</x:v>
      </x:c>
      <x:c r="F75" s="12" t="n">
        <x:v>45319</x:v>
      </x:c>
      <x:c r="G75" s="1" t="str">
        <x:v>Income Statement</x:v>
      </x:c>
      <x:c r="H75" s="1" t="str">
        <x:v>Gross Profit</x:v>
      </x:c>
      <x:c r="I75" s="14" t="n">
        <x:v>50960</x:v>
      </x:c>
      <x:c r="J75" s="1" t="str">
        <x:v>https://www.sec.gov/Archives/edgar/data/354950/000162828026019436/hd-20260201.htm</x:v>
      </x:c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 t="str">
        <x:v>The Home Depot, Inc.</x:v>
      </x:c>
      <x:c r="D76" s="1" t="str">
        <x:v>HD</x:v>
      </x:c>
      <x:c r="E76" s="1" t="n">
        <x:v>2023</x:v>
      </x:c>
      <x:c r="F76" s="12" t="n">
        <x:v>45319</x:v>
      </x:c>
      <x:c r="G76" s="1" t="str">
        <x:v>Income Statement</x:v>
      </x:c>
      <x:c r="H76" s="1" t="str">
        <x:v>SG&amp;A</x:v>
      </x:c>
      <x:c r="I76" s="14" t="n">
        <x:v>26598</x:v>
      </x:c>
      <x:c r="J76" s="1" t="str">
        <x:v>https://www.sec.gov/Archives/edgar/data/354950/000162828026019436/hd-20260201.htm</x:v>
      </x:c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 t="str">
        <x:v>The Home Depot, Inc.</x:v>
      </x:c>
      <x:c r="D77" s="1" t="str">
        <x:v>HD</x:v>
      </x:c>
      <x:c r="E77" s="1" t="n">
        <x:v>2023</x:v>
      </x:c>
      <x:c r="F77" s="12" t="n">
        <x:v>45319</x:v>
      </x:c>
      <x:c r="G77" s="1" t="str">
        <x:v>Income Statement</x:v>
      </x:c>
      <x:c r="H77" s="1" t="str">
        <x:v>Depreciation &amp; Amortization Expense</x:v>
      </x:c>
      <x:c r="I77" s="14" t="n">
        <x:v>2673</x:v>
      </x:c>
      <x:c r="J77" s="1" t="str">
        <x:v>https://www.sec.gov/Archives/edgar/data/354950/000162828026019436/hd-20260201.htm</x:v>
      </x:c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 t="str">
        <x:v>The Home Depot, Inc.</x:v>
      </x:c>
      <x:c r="D78" s="1" t="str">
        <x:v>HD</x:v>
      </x:c>
      <x:c r="E78" s="1" t="n">
        <x:v>2023</x:v>
      </x:c>
      <x:c r="F78" s="12" t="n">
        <x:v>45319</x:v>
      </x:c>
      <x:c r="G78" s="1" t="str">
        <x:v>Income Statement</x:v>
      </x:c>
      <x:c r="H78" s="1" t="str">
        <x:v>Operating Income</x:v>
      </x:c>
      <x:c r="I78" s="14" t="n">
        <x:v>21689</x:v>
      </x:c>
      <x:c r="J78" s="1" t="str">
        <x:v>https://www.sec.gov/Archives/edgar/data/354950/000162828026019436/hd-20260201.htm</x:v>
      </x:c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 t="str">
        <x:v>The Home Depot, Inc.</x:v>
      </x:c>
      <x:c r="D79" s="1" t="str">
        <x:v>HD</x:v>
      </x:c>
      <x:c r="E79" s="1" t="n">
        <x:v>2023</x:v>
      </x:c>
      <x:c r="F79" s="12" t="n">
        <x:v>45319</x:v>
      </x:c>
      <x:c r="G79" s="1" t="str">
        <x:v>Income Statement</x:v>
      </x:c>
      <x:c r="H79" s="1" t="str">
        <x:v>Interest Expense</x:v>
      </x:c>
      <x:c r="I79" s="14" t="n">
        <x:v>1943</x:v>
      </x:c>
      <x:c r="J79" s="1" t="str">
        <x:v>https://www.sec.gov/Archives/edgar/data/354950/000162828026019436/hd-20260201.htm</x:v>
      </x:c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 t="str">
        <x:v>The Home Depot, Inc.</x:v>
      </x:c>
      <x:c r="D80" s="1" t="str">
        <x:v>HD</x:v>
      </x:c>
      <x:c r="E80" s="1" t="n">
        <x:v>2023</x:v>
      </x:c>
      <x:c r="F80" s="12" t="n">
        <x:v>45319</x:v>
      </x:c>
      <x:c r="G80" s="1" t="str">
        <x:v>Income Statement</x:v>
      </x:c>
      <x:c r="H80" s="1" t="str">
        <x:v>Income Before Tax</x:v>
      </x:c>
      <x:c r="I80" s="14" t="n">
        <x:v>19924</x:v>
      </x:c>
      <x:c r="J80" s="1" t="str">
        <x:v>https://www.sec.gov/Archives/edgar/data/354950/000162828026019436/hd-20260201.htm</x:v>
      </x:c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 t="str">
        <x:v>The Home Depot, Inc.</x:v>
      </x:c>
      <x:c r="D81" s="1" t="str">
        <x:v>HD</x:v>
      </x:c>
      <x:c r="E81" s="1" t="n">
        <x:v>2023</x:v>
      </x:c>
      <x:c r="F81" s="12" t="n">
        <x:v>45319</x:v>
      </x:c>
      <x:c r="G81" s="1" t="str">
        <x:v>Income Statement</x:v>
      </x:c>
      <x:c r="H81" s="1" t="str">
        <x:v>Income Tax Expense</x:v>
      </x:c>
      <x:c r="I81" s="14" t="n">
        <x:v>4781</x:v>
      </x:c>
      <x:c r="J81" s="1" t="str">
        <x:v>https://www.sec.gov/Archives/edgar/data/354950/000162828026019436/hd-20260201.htm</x:v>
      </x:c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 t="str">
        <x:v>The Home Depot, Inc.</x:v>
      </x:c>
      <x:c r="D82" s="1" t="str">
        <x:v>HD</x:v>
      </x:c>
      <x:c r="E82" s="1" t="n">
        <x:v>2023</x:v>
      </x:c>
      <x:c r="F82" s="12" t="n">
        <x:v>45319</x:v>
      </x:c>
      <x:c r="G82" s="1" t="str">
        <x:v>Income Statement</x:v>
      </x:c>
      <x:c r="H82" s="1" t="str">
        <x:v>Net Income</x:v>
      </x:c>
      <x:c r="I82" s="14" t="n">
        <x:v>15143</x:v>
      </x:c>
      <x:c r="J82" s="1" t="str">
        <x:v>https://www.sec.gov/Archives/edgar/data/354950/000162828026019436/hd-20260201.htm</x:v>
      </x:c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 t="str">
        <x:v>The Home Depot, Inc.</x:v>
      </x:c>
      <x:c r="D83" s="1" t="str">
        <x:v>HD</x:v>
      </x:c>
      <x:c r="E83" s="1" t="n">
        <x:v>2023</x:v>
      </x:c>
      <x:c r="F83" s="12" t="n">
        <x:v>45319</x:v>
      </x:c>
      <x:c r="G83" s="1" t="str">
        <x:v>Balance Sheet</x:v>
      </x:c>
      <x:c r="H83" s="1" t="str">
        <x:v>Cash &amp; Equivalents</x:v>
      </x:c>
      <x:c r="I83" s="14" t="n">
        <x:v>3760</x:v>
      </x:c>
      <x:c r="J83" s="1" t="str">
        <x:v>https://www.sec.gov/Archives/edgar/data/354950/000162828026019436/hd-20260201.htm</x:v>
      </x:c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 t="str">
        <x:v>The Home Depot, Inc.</x:v>
      </x:c>
      <x:c r="D84" s="1" t="str">
        <x:v>HD</x:v>
      </x:c>
      <x:c r="E84" s="1" t="n">
        <x:v>2023</x:v>
      </x:c>
      <x:c r="F84" s="12" t="n">
        <x:v>45319</x:v>
      </x:c>
      <x:c r="G84" s="1" t="str">
        <x:v>Balance Sheet</x:v>
      </x:c>
      <x:c r="H84" s="1" t="str">
        <x:v>Accounts Receivable</x:v>
      </x:c>
      <x:c r="I84" s="14" t="n">
        <x:v>3328</x:v>
      </x:c>
      <x:c r="J84" s="1" t="str">
        <x:v>https://www.sec.gov/Archives/edgar/data/354950/000162828026019436/hd-20260201.htm</x:v>
      </x:c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 t="str">
        <x:v>The Home Depot, Inc.</x:v>
      </x:c>
      <x:c r="D85" s="1" t="str">
        <x:v>HD</x:v>
      </x:c>
      <x:c r="E85" s="1" t="n">
        <x:v>2023</x:v>
      </x:c>
      <x:c r="F85" s="12" t="n">
        <x:v>45319</x:v>
      </x:c>
      <x:c r="G85" s="1" t="str">
        <x:v>Balance Sheet</x:v>
      </x:c>
      <x:c r="H85" s="1" t="str">
        <x:v>Inventory</x:v>
      </x:c>
      <x:c r="I85" s="14" t="n">
        <x:v>20976</x:v>
      </x:c>
      <x:c r="J85" s="1" t="str">
        <x:v>https://www.sec.gov/Archives/edgar/data/354950/000162828026019436/hd-20260201.htm</x:v>
      </x:c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 t="str">
        <x:v>The Home Depot, Inc.</x:v>
      </x:c>
      <x:c r="D86" s="1" t="str">
        <x:v>HD</x:v>
      </x:c>
      <x:c r="E86" s="1" t="n">
        <x:v>2023</x:v>
      </x:c>
      <x:c r="F86" s="12" t="n">
        <x:v>45319</x:v>
      </x:c>
      <x:c r="G86" s="1" t="str">
        <x:v>Balance Sheet</x:v>
      </x:c>
      <x:c r="H86" s="1" t="str">
        <x:v>Current Assets</x:v>
      </x:c>
      <x:c r="I86" s="14" t="n">
        <x:v>29775</x:v>
      </x:c>
      <x:c r="J86" s="1" t="str">
        <x:v>https://www.sec.gov/Archives/edgar/data/354950/000162828026019436/hd-20260201.htm</x:v>
      </x:c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 t="str">
        <x:v>The Home Depot, Inc.</x:v>
      </x:c>
      <x:c r="D87" s="1" t="str">
        <x:v>HD</x:v>
      </x:c>
      <x:c r="E87" s="1" t="n">
        <x:v>2023</x:v>
      </x:c>
      <x:c r="F87" s="12" t="n">
        <x:v>45319</x:v>
      </x:c>
      <x:c r="G87" s="1" t="str">
        <x:v>Balance Sheet</x:v>
      </x:c>
      <x:c r="H87" s="1" t="str">
        <x:v>Total Assets</x:v>
      </x:c>
      <x:c r="I87" s="14" t="n">
        <x:v>76530</x:v>
      </x:c>
      <x:c r="J87" s="1" t="str">
        <x:v>https://www.sec.gov/Archives/edgar/data/354950/000162828026019436/hd-20260201.htm</x:v>
      </x:c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 t="str">
        <x:v>The Home Depot, Inc.</x:v>
      </x:c>
      <x:c r="D88" s="1" t="str">
        <x:v>HD</x:v>
      </x:c>
      <x:c r="E88" s="1" t="n">
        <x:v>2023</x:v>
      </x:c>
      <x:c r="F88" s="12" t="n">
        <x:v>45319</x:v>
      </x:c>
      <x:c r="G88" s="1" t="str">
        <x:v>Balance Sheet</x:v>
      </x:c>
      <x:c r="H88" s="1" t="str">
        <x:v>Accounts Payable</x:v>
      </x:c>
      <x:c r="I88" s="14" t="n">
        <x:v>10037</x:v>
      </x:c>
      <x:c r="J88" s="1" t="str">
        <x:v>https://www.sec.gov/Archives/edgar/data/354950/000162828026019436/hd-20260201.htm</x:v>
      </x:c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 t="str">
        <x:v>The Home Depot, Inc.</x:v>
      </x:c>
      <x:c r="D89" s="1" t="str">
        <x:v>HD</x:v>
      </x:c>
      <x:c r="E89" s="1" t="n">
        <x:v>2023</x:v>
      </x:c>
      <x:c r="F89" s="12" t="n">
        <x:v>45319</x:v>
      </x:c>
      <x:c r="G89" s="1" t="str">
        <x:v>Balance Sheet</x:v>
      </x:c>
      <x:c r="H89" s="1" t="str">
        <x:v>Current Liabilities</x:v>
      </x:c>
      <x:c r="I89" s="14" t="n">
        <x:v>22015</x:v>
      </x:c>
      <x:c r="J89" s="1" t="str">
        <x:v>https://www.sec.gov/Archives/edgar/data/354950/000162828026019436/hd-20260201.htm</x:v>
      </x:c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 t="str">
        <x:v>The Home Depot, Inc.</x:v>
      </x:c>
      <x:c r="D90" s="1" t="str">
        <x:v>HD</x:v>
      </x:c>
      <x:c r="E90" s="1" t="n">
        <x:v>2023</x:v>
      </x:c>
      <x:c r="F90" s="12" t="n">
        <x:v>45319</x:v>
      </x:c>
      <x:c r="G90" s="1" t="str">
        <x:v>Balance Sheet</x:v>
      </x:c>
      <x:c r="H90" s="1" t="str">
        <x:v>Current Debt</x:v>
      </x:c>
      <x:c r="I90" s="14" t="n">
        <x:v>1368</x:v>
      </x:c>
      <x:c r="J90" s="1" t="str">
        <x:v>https://www.sec.gov/Archives/edgar/data/354950/000162828026019436/hd-20260201.htm</x:v>
      </x:c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 t="str">
        <x:v>The Home Depot, Inc.</x:v>
      </x:c>
      <x:c r="D91" s="1" t="str">
        <x:v>HD</x:v>
      </x:c>
      <x:c r="E91" s="1" t="n">
        <x:v>2023</x:v>
      </x:c>
      <x:c r="F91" s="12" t="n">
        <x:v>45319</x:v>
      </x:c>
      <x:c r="G91" s="1" t="str">
        <x:v>Balance Sheet</x:v>
      </x:c>
      <x:c r="H91" s="1" t="str">
        <x:v>Long-term Debt</x:v>
      </x:c>
      <x:c r="I91" s="14" t="n">
        <x:v>42743</x:v>
      </x:c>
      <x:c r="J91" s="1" t="str">
        <x:v>https://www.sec.gov/Archives/edgar/data/354950/000162828026019436/hd-20260201.htm</x:v>
      </x:c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 t="str">
        <x:v>The Home Depot, Inc.</x:v>
      </x:c>
      <x:c r="D92" s="1" t="str">
        <x:v>HD</x:v>
      </x:c>
      <x:c r="E92" s="1" t="n">
        <x:v>2023</x:v>
      </x:c>
      <x:c r="F92" s="12" t="n">
        <x:v>45319</x:v>
      </x:c>
      <x:c r="G92" s="1" t="str">
        <x:v>Balance Sheet</x:v>
      </x:c>
      <x:c r="H92" s="1" t="str">
        <x:v>Operating Lease Liabilities</x:v>
      </x:c>
      <x:c r="I92" s="14" t="n">
        <x:v>8132</x:v>
      </x:c>
      <x:c r="J92" s="1" t="str">
        <x:v>https://www.sec.gov/Archives/edgar/data/354950/000162828026019436/hd-20260201.htm</x:v>
      </x:c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 t="str">
        <x:v>The Home Depot, Inc.</x:v>
      </x:c>
      <x:c r="D93" s="1" t="str">
        <x:v>HD</x:v>
      </x:c>
      <x:c r="E93" s="1" t="n">
        <x:v>2023</x:v>
      </x:c>
      <x:c r="F93" s="12" t="n">
        <x:v>45319</x:v>
      </x:c>
      <x:c r="G93" s="1" t="str">
        <x:v>Balance Sheet</x:v>
      </x:c>
      <x:c r="H93" s="1" t="str">
        <x:v>Total Liabilities</x:v>
      </x:c>
      <x:c r="I93" s="14" t="n">
        <x:v>75486</x:v>
      </x:c>
      <x:c r="J93" s="1" t="str">
        <x:v>https://www.sec.gov/Archives/edgar/data/354950/000162828026019436/hd-20260201.htm</x:v>
      </x:c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 t="str">
        <x:v>The Home Depot, Inc.</x:v>
      </x:c>
      <x:c r="D94" s="1" t="str">
        <x:v>HD</x:v>
      </x:c>
      <x:c r="E94" s="1" t="n">
        <x:v>2023</x:v>
      </x:c>
      <x:c r="F94" s="12" t="n">
        <x:v>45319</x:v>
      </x:c>
      <x:c r="G94" s="1" t="str">
        <x:v>Balance Sheet</x:v>
      </x:c>
      <x:c r="H94" s="1" t="str">
        <x:v>Stockholders' Equity</x:v>
      </x:c>
      <x:c r="I94" s="14" t="n">
        <x:v>1044</x:v>
      </x:c>
      <x:c r="J94" s="1" t="str">
        <x:v>https://www.sec.gov/Archives/edgar/data/354950/000162828026019436/hd-20260201.htm</x:v>
      </x:c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 t="str">
        <x:v>The Home Depot, Inc.</x:v>
      </x:c>
      <x:c r="D95" s="1" t="str">
        <x:v>HD</x:v>
      </x:c>
      <x:c r="E95" s="1" t="n">
        <x:v>2023</x:v>
      </x:c>
      <x:c r="F95" s="12" t="n">
        <x:v>45319</x:v>
      </x:c>
      <x:c r="G95" s="1" t="str">
        <x:v>Cash Flow</x:v>
      </x:c>
      <x:c r="H95" s="1" t="str">
        <x:v>Operating Cash Flow</x:v>
      </x:c>
      <x:c r="I95" s="14" t="n">
        <x:v>21172</x:v>
      </x:c>
      <x:c r="J95" s="1" t="str">
        <x:v>https://www.sec.gov/Archives/edgar/data/354950/000162828026019436/hd-20260201.htm</x:v>
      </x:c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 t="str">
        <x:v>The Home Depot, Inc.</x:v>
      </x:c>
      <x:c r="D96" s="1" t="str">
        <x:v>HD</x:v>
      </x:c>
      <x:c r="E96" s="1" t="n">
        <x:v>2023</x:v>
      </x:c>
      <x:c r="F96" s="12" t="n">
        <x:v>45319</x:v>
      </x:c>
      <x:c r="G96" s="1" t="str">
        <x:v>Cash Flow</x:v>
      </x:c>
      <x:c r="H96" s="1" t="str">
        <x:v>D&amp;A Add-back</x:v>
      </x:c>
      <x:c r="I96" s="14" t="n">
        <x:v>3061</x:v>
      </x:c>
      <x:c r="J96" s="1" t="str">
        <x:v>https://www.sec.gov/Archives/edgar/data/354950/000162828026019436/hd-20260201.htm</x:v>
      </x:c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 t="str">
        <x:v>The Home Depot, Inc.</x:v>
      </x:c>
      <x:c r="D97" s="1" t="str">
        <x:v>HD</x:v>
      </x:c>
      <x:c r="E97" s="1" t="n">
        <x:v>2023</x:v>
      </x:c>
      <x:c r="F97" s="12" t="n">
        <x:v>45319</x:v>
      </x:c>
      <x:c r="G97" s="1" t="str">
        <x:v>Cash Flow</x:v>
      </x:c>
      <x:c r="H97" s="1" t="str">
        <x:v>Change in Receivables</x:v>
      </x:c>
      <x:c r="I97" s="14" t="n">
        <x:v>-134</x:v>
      </x:c>
      <x:c r="J97" s="1" t="str">
        <x:v>https://www.sec.gov/Archives/edgar/data/354950/000162828026019436/hd-20260201.htm</x:v>
      </x:c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 t="str">
        <x:v>The Home Depot, Inc.</x:v>
      </x:c>
      <x:c r="D98" s="1" t="str">
        <x:v>HD</x:v>
      </x:c>
      <x:c r="E98" s="1" t="n">
        <x:v>2023</x:v>
      </x:c>
      <x:c r="F98" s="12" t="n">
        <x:v>45319</x:v>
      </x:c>
      <x:c r="G98" s="1" t="str">
        <x:v>Cash Flow</x:v>
      </x:c>
      <x:c r="H98" s="1" t="str">
        <x:v>Change in Inventory</x:v>
      </x:c>
      <x:c r="I98" s="14"/>
      <x:c r="J98" s="1" t="str">
        <x:v>https://www.sec.gov/Archives/edgar/data/354950/000162828026019436/hd-20260201.htm</x:v>
      </x:c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 t="str">
        <x:v>The Home Depot, Inc.</x:v>
      </x:c>
      <x:c r="D99" s="1" t="str">
        <x:v>HD</x:v>
      </x:c>
      <x:c r="E99" s="1" t="n">
        <x:v>2023</x:v>
      </x:c>
      <x:c r="F99" s="12" t="n">
        <x:v>45319</x:v>
      </x:c>
      <x:c r="G99" s="1" t="str">
        <x:v>Cash Flow</x:v>
      </x:c>
      <x:c r="H99" s="1" t="str">
        <x:v>Change in A/P &amp; Accrued Liabilities</x:v>
      </x:c>
      <x:c r="I99" s="14" t="n">
        <x:v>-1411</x:v>
      </x:c>
      <x:c r="J99" s="1" t="str">
        <x:v>https://www.sec.gov/Archives/edgar/data/354950/000162828026019436/hd-20260201.htm</x:v>
      </x:c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 t="str">
        <x:v>The Home Depot, Inc.</x:v>
      </x:c>
      <x:c r="D100" s="1" t="str">
        <x:v>HD</x:v>
      </x:c>
      <x:c r="E100" s="1" t="n">
        <x:v>2023</x:v>
      </x:c>
      <x:c r="F100" s="12" t="n">
        <x:v>45319</x:v>
      </x:c>
      <x:c r="G100" s="1" t="str">
        <x:v>Cash Flow</x:v>
      </x:c>
      <x:c r="H100" s="1" t="str">
        <x:v>Capital Expenditures</x:v>
      </x:c>
      <x:c r="I100" s="14" t="n">
        <x:v>3226</x:v>
      </x:c>
      <x:c r="J100" s="1" t="str">
        <x:v>https://www.sec.gov/Archives/edgar/data/354950/000162828026019436/hd-20260201.htm</x:v>
      </x:c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C101" t="str">
        <x:v>The Home Depot, Inc.</x:v>
      </x:c>
      <x:c r="D101" t="str">
        <x:v>HD</x:v>
      </x:c>
      <x:c r="E101" t="n">
        <x:v>2023</x:v>
      </x:c>
      <x:c r="F101" s="13" t="n">
        <x:v>45319</x:v>
      </x:c>
      <x:c r="G101" t="str">
        <x:v>Cash Flow</x:v>
      </x:c>
      <x:c r="H101" t="str">
        <x:v>Business Acquisitions</x:v>
      </x:c>
      <x:c r="I101" s="15" t="n">
        <x:v>1514</x:v>
      </x:c>
      <x:c r="J101" t="str">
        <x:v>https://www.sec.gov/Archives/edgar/data/354950/000162828026019436/hd-20260201.htm</x:v>
      </x:c>
    </x:row>
    <x:row r="102">
      <x:c r="C102" t="str">
        <x:v>The Home Depot, Inc.</x:v>
      </x:c>
      <x:c r="D102" t="str">
        <x:v>HD</x:v>
      </x:c>
      <x:c r="E102" t="n">
        <x:v>2023</x:v>
      </x:c>
      <x:c r="F102" s="13" t="n">
        <x:v>45319</x:v>
      </x:c>
      <x:c r="G102" t="str">
        <x:v>Cash Flow</x:v>
      </x:c>
      <x:c r="H102" t="str">
        <x:v>Investing Cash Flow</x:v>
      </x:c>
      <x:c r="I102" s="15" t="n">
        <x:v>-4729</x:v>
      </x:c>
      <x:c r="J102" t="str">
        <x:v>https://www.sec.gov/Archives/edgar/data/354950/000162828026019436/hd-20260201.htm</x:v>
      </x:c>
    </x:row>
    <x:row r="103">
      <x:c r="C103" t="str">
        <x:v>The Home Depot, Inc.</x:v>
      </x:c>
      <x:c r="D103" t="str">
        <x:v>HD</x:v>
      </x:c>
      <x:c r="E103" t="n">
        <x:v>2023</x:v>
      </x:c>
      <x:c r="F103" s="13" t="n">
        <x:v>45319</x:v>
      </x:c>
      <x:c r="G103" t="str">
        <x:v>Cash Flow</x:v>
      </x:c>
      <x:c r="H103" t="str">
        <x:v>Share Repurchases</x:v>
      </x:c>
      <x:c r="I103" s="15" t="n">
        <x:v>7951</x:v>
      </x:c>
      <x:c r="J103" t="str">
        <x:v>https://www.sec.gov/Archives/edgar/data/354950/000162828026019436/hd-20260201.htm</x:v>
      </x:c>
    </x:row>
    <x:row r="104">
      <x:c r="C104" t="str">
        <x:v>The Home Depot, Inc.</x:v>
      </x:c>
      <x:c r="D104" t="str">
        <x:v>HD</x:v>
      </x:c>
      <x:c r="E104" t="n">
        <x:v>2023</x:v>
      </x:c>
      <x:c r="F104" s="13" t="n">
        <x:v>45319</x:v>
      </x:c>
      <x:c r="G104" t="str">
        <x:v>Cash Flow</x:v>
      </x:c>
      <x:c r="H104" t="str">
        <x:v>Dividends Paid</x:v>
      </x:c>
      <x:c r="I104" s="15" t="n">
        <x:v>8383</x:v>
      </x:c>
      <x:c r="J104" t="str">
        <x:v>https://www.sec.gov/Archives/edgar/data/354950/000162828026019436/hd-20260201.htm</x:v>
      </x:c>
    </x:row>
    <x:row r="105">
      <x:c r="C105" t="str">
        <x:v>The Home Depot, Inc.</x:v>
      </x:c>
      <x:c r="D105" t="str">
        <x:v>HD</x:v>
      </x:c>
      <x:c r="E105" t="n">
        <x:v>2023</x:v>
      </x:c>
      <x:c r="F105" s="13" t="n">
        <x:v>45319</x:v>
      </x:c>
      <x:c r="G105" t="str">
        <x:v>Cash Flow</x:v>
      </x:c>
      <x:c r="H105" t="str">
        <x:v>Financing Cash Flow</x:v>
      </x:c>
      <x:c r="I105" s="15" t="n">
        <x:v>-15443</x:v>
      </x:c>
      <x:c r="J105" t="str">
        <x:v>https://www.sec.gov/Archives/edgar/data/354950/000162828026019436/hd-20260201.htm</x:v>
      </x:c>
    </x:row>
    <x:row r="106">
      <x:c r="C106" t="str">
        <x:v>The Home Depot, Inc.</x:v>
      </x:c>
      <x:c r="D106" t="str">
        <x:v>HD</x:v>
      </x:c>
      <x:c r="E106" t="n">
        <x:v>2024</x:v>
      </x:c>
      <x:c r="F106" s="13" t="n">
        <x:v>45690</x:v>
      </x:c>
      <x:c r="G106" t="str">
        <x:v>Income Statement</x:v>
      </x:c>
      <x:c r="H106" t="str">
        <x:v>Revenue</x:v>
      </x:c>
      <x:c r="I106" s="15" t="n">
        <x:v>159514</x:v>
      </x:c>
      <x:c r="J106" t="str">
        <x:v>https://www.sec.gov/Archives/edgar/data/354950/000162828026019436/hd-20260201.htm</x:v>
      </x:c>
    </x:row>
    <x:row r="107">
      <x:c r="C107" t="str">
        <x:v>The Home Depot, Inc.</x:v>
      </x:c>
      <x:c r="D107" t="str">
        <x:v>HD</x:v>
      </x:c>
      <x:c r="E107" t="n">
        <x:v>2024</x:v>
      </x:c>
      <x:c r="F107" s="13" t="n">
        <x:v>45690</x:v>
      </x:c>
      <x:c r="G107" t="str">
        <x:v>Income Statement</x:v>
      </x:c>
      <x:c r="H107" t="str">
        <x:v>Cost of Sales</x:v>
      </x:c>
      <x:c r="I107" s="15" t="n">
        <x:v>106206</x:v>
      </x:c>
      <x:c r="J107" t="str">
        <x:v>https://www.sec.gov/Archives/edgar/data/354950/000162828026019436/hd-20260201.htm</x:v>
      </x:c>
    </x:row>
    <x:row r="108">
      <x:c r="C108" t="str">
        <x:v>The Home Depot, Inc.</x:v>
      </x:c>
      <x:c r="D108" t="str">
        <x:v>HD</x:v>
      </x:c>
      <x:c r="E108" t="n">
        <x:v>2024</x:v>
      </x:c>
      <x:c r="F108" s="13" t="n">
        <x:v>45690</x:v>
      </x:c>
      <x:c r="G108" t="str">
        <x:v>Income Statement</x:v>
      </x:c>
      <x:c r="H108" t="str">
        <x:v>Gross Profit</x:v>
      </x:c>
      <x:c r="I108" s="15" t="n">
        <x:v>53308</x:v>
      </x:c>
      <x:c r="J108" t="str">
        <x:v>https://www.sec.gov/Archives/edgar/data/354950/000162828026019436/hd-20260201.htm</x:v>
      </x:c>
    </x:row>
    <x:row r="109">
      <x:c r="C109" t="str">
        <x:v>The Home Depot, Inc.</x:v>
      </x:c>
      <x:c r="D109" t="str">
        <x:v>HD</x:v>
      </x:c>
      <x:c r="E109" t="n">
        <x:v>2024</x:v>
      </x:c>
      <x:c r="F109" s="13" t="n">
        <x:v>45690</x:v>
      </x:c>
      <x:c r="G109" t="str">
        <x:v>Income Statement</x:v>
      </x:c>
      <x:c r="H109" t="str">
        <x:v>SG&amp;A</x:v>
      </x:c>
      <x:c r="I109" s="15" t="n">
        <x:v>28748</x:v>
      </x:c>
      <x:c r="J109" t="str">
        <x:v>https://www.sec.gov/Archives/edgar/data/354950/000162828026019436/hd-20260201.htm</x:v>
      </x:c>
    </x:row>
    <x:row r="110">
      <x:c r="C110" t="str">
        <x:v>The Home Depot, Inc.</x:v>
      </x:c>
      <x:c r="D110" t="str">
        <x:v>HD</x:v>
      </x:c>
      <x:c r="E110" t="n">
        <x:v>2024</x:v>
      </x:c>
      <x:c r="F110" s="13" t="n">
        <x:v>45690</x:v>
      </x:c>
      <x:c r="G110" t="str">
        <x:v>Income Statement</x:v>
      </x:c>
      <x:c r="H110" t="str">
        <x:v>Depreciation &amp; Amortization Expense</x:v>
      </x:c>
      <x:c r="I110" s="15" t="n">
        <x:v>3034</x:v>
      </x:c>
      <x:c r="J110" t="str">
        <x:v>https://www.sec.gov/Archives/edgar/data/354950/000162828026019436/hd-20260201.htm</x:v>
      </x:c>
    </x:row>
    <x:row r="111">
      <x:c r="C111" t="str">
        <x:v>The Home Depot, Inc.</x:v>
      </x:c>
      <x:c r="D111" t="str">
        <x:v>HD</x:v>
      </x:c>
      <x:c r="E111" t="n">
        <x:v>2024</x:v>
      </x:c>
      <x:c r="F111" s="13" t="n">
        <x:v>45690</x:v>
      </x:c>
      <x:c r="G111" t="str">
        <x:v>Income Statement</x:v>
      </x:c>
      <x:c r="H111" t="str">
        <x:v>Operating Income</x:v>
      </x:c>
      <x:c r="I111" s="15" t="n">
        <x:v>21526</x:v>
      </x:c>
      <x:c r="J111" t="str">
        <x:v>https://www.sec.gov/Archives/edgar/data/354950/000162828026019436/hd-20260201.htm</x:v>
      </x:c>
    </x:row>
    <x:row r="112">
      <x:c r="C112" t="str">
        <x:v>The Home Depot, Inc.</x:v>
      </x:c>
      <x:c r="D112" t="str">
        <x:v>HD</x:v>
      </x:c>
      <x:c r="E112" t="n">
        <x:v>2024</x:v>
      </x:c>
      <x:c r="F112" s="13" t="n">
        <x:v>45690</x:v>
      </x:c>
      <x:c r="G112" t="str">
        <x:v>Income Statement</x:v>
      </x:c>
      <x:c r="H112" t="str">
        <x:v>Interest Expense</x:v>
      </x:c>
      <x:c r="I112" s="15" t="n">
        <x:v>2321</x:v>
      </x:c>
      <x:c r="J112" t="str">
        <x:v>https://www.sec.gov/Archives/edgar/data/354950/000162828026019436/hd-20260201.htm</x:v>
      </x:c>
    </x:row>
    <x:row r="113">
      <x:c r="C113" t="str">
        <x:v>The Home Depot, Inc.</x:v>
      </x:c>
      <x:c r="D113" t="str">
        <x:v>HD</x:v>
      </x:c>
      <x:c r="E113" t="n">
        <x:v>2024</x:v>
      </x:c>
      <x:c r="F113" s="13" t="n">
        <x:v>45690</x:v>
      </x:c>
      <x:c r="G113" t="str">
        <x:v>Income Statement</x:v>
      </x:c>
      <x:c r="H113" t="str">
        <x:v>Income Before Tax</x:v>
      </x:c>
      <x:c r="I113" s="15" t="n">
        <x:v>19406</x:v>
      </x:c>
      <x:c r="J113" t="str">
        <x:v>https://www.sec.gov/Archives/edgar/data/354950/000162828026019436/hd-20260201.htm</x:v>
      </x:c>
    </x:row>
    <x:row r="114">
      <x:c r="C114" t="str">
        <x:v>The Home Depot, Inc.</x:v>
      </x:c>
      <x:c r="D114" t="str">
        <x:v>HD</x:v>
      </x:c>
      <x:c r="E114" t="n">
        <x:v>2024</x:v>
      </x:c>
      <x:c r="F114" s="13" t="n">
        <x:v>45690</x:v>
      </x:c>
      <x:c r="G114" t="str">
        <x:v>Income Statement</x:v>
      </x:c>
      <x:c r="H114" t="str">
        <x:v>Income Tax Expense</x:v>
      </x:c>
      <x:c r="I114" s="15" t="n">
        <x:v>4600</x:v>
      </x:c>
      <x:c r="J114" t="str">
        <x:v>https://www.sec.gov/Archives/edgar/data/354950/000162828026019436/hd-20260201.htm</x:v>
      </x:c>
    </x:row>
    <x:row r="115">
      <x:c r="C115" t="str">
        <x:v>The Home Depot, Inc.</x:v>
      </x:c>
      <x:c r="D115" t="str">
        <x:v>HD</x:v>
      </x:c>
      <x:c r="E115" t="n">
        <x:v>2024</x:v>
      </x:c>
      <x:c r="F115" s="13" t="n">
        <x:v>45690</x:v>
      </x:c>
      <x:c r="G115" t="str">
        <x:v>Income Statement</x:v>
      </x:c>
      <x:c r="H115" t="str">
        <x:v>Net Income</x:v>
      </x:c>
      <x:c r="I115" s="15" t="n">
        <x:v>14806</x:v>
      </x:c>
      <x:c r="J115" t="str">
        <x:v>https://www.sec.gov/Archives/edgar/data/354950/000162828026019436/hd-20260201.htm</x:v>
      </x:c>
    </x:row>
    <x:row r="116">
      <x:c r="C116" t="str">
        <x:v>The Home Depot, Inc.</x:v>
      </x:c>
      <x:c r="D116" t="str">
        <x:v>HD</x:v>
      </x:c>
      <x:c r="E116" t="n">
        <x:v>2024</x:v>
      </x:c>
      <x:c r="F116" s="13" t="n">
        <x:v>45690</x:v>
      </x:c>
      <x:c r="G116" t="str">
        <x:v>Balance Sheet</x:v>
      </x:c>
      <x:c r="H116" t="str">
        <x:v>Cash &amp; Equivalents</x:v>
      </x:c>
      <x:c r="I116" s="15" t="n">
        <x:v>1659</x:v>
      </x:c>
      <x:c r="J116" t="str">
        <x:v>https://www.sec.gov/Archives/edgar/data/354950/000162828026019436/hd-20260201.htm</x:v>
      </x:c>
    </x:row>
    <x:row r="117">
      <x:c r="C117" t="str">
        <x:v>The Home Depot, Inc.</x:v>
      </x:c>
      <x:c r="D117" t="str">
        <x:v>HD</x:v>
      </x:c>
      <x:c r="E117" t="n">
        <x:v>2024</x:v>
      </x:c>
      <x:c r="F117" s="13" t="n">
        <x:v>45690</x:v>
      </x:c>
      <x:c r="G117" t="str">
        <x:v>Balance Sheet</x:v>
      </x:c>
      <x:c r="H117" t="str">
        <x:v>Accounts Receivable</x:v>
      </x:c>
      <x:c r="I117" s="15" t="n">
        <x:v>4903</x:v>
      </x:c>
      <x:c r="J117" t="str">
        <x:v>https://www.sec.gov/Archives/edgar/data/354950/000162828026019436/hd-20260201.htm</x:v>
      </x:c>
    </x:row>
    <x:row r="118">
      <x:c r="C118" t="str">
        <x:v>The Home Depot, Inc.</x:v>
      </x:c>
      <x:c r="D118" t="str">
        <x:v>HD</x:v>
      </x:c>
      <x:c r="E118" t="n">
        <x:v>2024</x:v>
      </x:c>
      <x:c r="F118" s="13" t="n">
        <x:v>45690</x:v>
      </x:c>
      <x:c r="G118" t="str">
        <x:v>Balance Sheet</x:v>
      </x:c>
      <x:c r="H118" t="str">
        <x:v>Inventory</x:v>
      </x:c>
      <x:c r="I118" s="15" t="n">
        <x:v>23451</x:v>
      </x:c>
      <x:c r="J118" t="str">
        <x:v>https://www.sec.gov/Archives/edgar/data/354950/000162828026019436/hd-20260201.htm</x:v>
      </x:c>
    </x:row>
    <x:row r="119">
      <x:c r="C119" t="str">
        <x:v>The Home Depot, Inc.</x:v>
      </x:c>
      <x:c r="D119" t="str">
        <x:v>HD</x:v>
      </x:c>
      <x:c r="E119" t="n">
        <x:v>2024</x:v>
      </x:c>
      <x:c r="F119" s="13" t="n">
        <x:v>45690</x:v>
      </x:c>
      <x:c r="G119" t="str">
        <x:v>Balance Sheet</x:v>
      </x:c>
      <x:c r="H119" t="str">
        <x:v>Current Assets</x:v>
      </x:c>
      <x:c r="I119" s="15" t="n">
        <x:v>31683</x:v>
      </x:c>
      <x:c r="J119" t="str">
        <x:v>https://www.sec.gov/Archives/edgar/data/354950/000162828026019436/hd-20260201.htm</x:v>
      </x:c>
    </x:row>
    <x:row r="120">
      <x:c r="C120" t="str">
        <x:v>The Home Depot, Inc.</x:v>
      </x:c>
      <x:c r="D120" t="str">
        <x:v>HD</x:v>
      </x:c>
      <x:c r="E120" t="n">
        <x:v>2024</x:v>
      </x:c>
      <x:c r="F120" s="13" t="n">
        <x:v>45690</x:v>
      </x:c>
      <x:c r="G120" t="str">
        <x:v>Balance Sheet</x:v>
      </x:c>
      <x:c r="H120" t="str">
        <x:v>Total Assets</x:v>
      </x:c>
      <x:c r="I120" s="15" t="n">
        <x:v>96119</x:v>
      </x:c>
      <x:c r="J120" t="str">
        <x:v>https://www.sec.gov/Archives/edgar/data/354950/000162828026019436/hd-20260201.htm</x:v>
      </x:c>
    </x:row>
    <x:row r="121">
      <x:c r="C121" t="str">
        <x:v>The Home Depot, Inc.</x:v>
      </x:c>
      <x:c r="D121" t="str">
        <x:v>HD</x:v>
      </x:c>
      <x:c r="E121" t="n">
        <x:v>2024</x:v>
      </x:c>
      <x:c r="F121" s="13" t="n">
        <x:v>45690</x:v>
      </x:c>
      <x:c r="G121" t="str">
        <x:v>Balance Sheet</x:v>
      </x:c>
      <x:c r="H121" t="str">
        <x:v>Accounts Payable</x:v>
      </x:c>
      <x:c r="I121" s="15" t="n">
        <x:v>11938</x:v>
      </x:c>
      <x:c r="J121" t="str">
        <x:v>https://www.sec.gov/Archives/edgar/data/354950/000162828026019436/hd-20260201.htm</x:v>
      </x:c>
    </x:row>
    <x:row r="122">
      <x:c r="C122" t="str">
        <x:v>The Home Depot, Inc.</x:v>
      </x:c>
      <x:c r="D122" t="str">
        <x:v>HD</x:v>
      </x:c>
      <x:c r="E122" t="n">
        <x:v>2024</x:v>
      </x:c>
      <x:c r="F122" s="13" t="n">
        <x:v>45690</x:v>
      </x:c>
      <x:c r="G122" t="str">
        <x:v>Balance Sheet</x:v>
      </x:c>
      <x:c r="H122" t="str">
        <x:v>Current Liabilities</x:v>
      </x:c>
      <x:c r="I122" s="15" t="n">
        <x:v>28661</x:v>
      </x:c>
      <x:c r="J122" t="str">
        <x:v>https://www.sec.gov/Archives/edgar/data/354950/000162828026019436/hd-20260201.htm</x:v>
      </x:c>
    </x:row>
    <x:row r="123">
      <x:c r="C123" t="str">
        <x:v>The Home Depot, Inc.</x:v>
      </x:c>
      <x:c r="D123" t="str">
        <x:v>HD</x:v>
      </x:c>
      <x:c r="E123" t="n">
        <x:v>2024</x:v>
      </x:c>
      <x:c r="F123" s="13" t="n">
        <x:v>45690</x:v>
      </x:c>
      <x:c r="G123" t="str">
        <x:v>Balance Sheet</x:v>
      </x:c>
      <x:c r="H123" t="str">
        <x:v>Current Debt</x:v>
      </x:c>
      <x:c r="I123" s="15" t="n">
        <x:v>4582</x:v>
      </x:c>
      <x:c r="J123" t="str">
        <x:v>https://www.sec.gov/Archives/edgar/data/354950/000162828026019436/hd-20260201.htm</x:v>
      </x:c>
    </x:row>
    <x:row r="124">
      <x:c r="C124" t="str">
        <x:v>The Home Depot, Inc.</x:v>
      </x:c>
      <x:c r="D124" t="str">
        <x:v>HD</x:v>
      </x:c>
      <x:c r="E124" t="n">
        <x:v>2024</x:v>
      </x:c>
      <x:c r="F124" s="13" t="n">
        <x:v>45690</x:v>
      </x:c>
      <x:c r="G124" t="str">
        <x:v>Balance Sheet</x:v>
      </x:c>
      <x:c r="H124" t="str">
        <x:v>Long-term Debt</x:v>
      </x:c>
      <x:c r="I124" s="15" t="n">
        <x:v>48485</x:v>
      </x:c>
      <x:c r="J124" t="str">
        <x:v>https://www.sec.gov/Archives/edgar/data/354950/000162828026019436/hd-20260201.htm</x:v>
      </x:c>
    </x:row>
    <x:row r="125">
      <x:c r="C125" t="str">
        <x:v>The Home Depot, Inc.</x:v>
      </x:c>
      <x:c r="D125" t="str">
        <x:v>HD</x:v>
      </x:c>
      <x:c r="E125" t="n">
        <x:v>2024</x:v>
      </x:c>
      <x:c r="F125" s="13" t="n">
        <x:v>45690</x:v>
      </x:c>
      <x:c r="G125" t="str">
        <x:v>Balance Sheet</x:v>
      </x:c>
      <x:c r="H125" t="str">
        <x:v>Operating Lease Liabilities</x:v>
      </x:c>
      <x:c r="I125" s="15" t="n">
        <x:v>8907</x:v>
      </x:c>
      <x:c r="J125" t="str">
        <x:v>https://www.sec.gov/Archives/edgar/data/354950/000162828026019436/hd-20260201.htm</x:v>
      </x:c>
    </x:row>
    <x:row r="126">
      <x:c r="C126" t="str">
        <x:v>The Home Depot, Inc.</x:v>
      </x:c>
      <x:c r="D126" t="str">
        <x:v>HD</x:v>
      </x:c>
      <x:c r="E126" t="n">
        <x:v>2024</x:v>
      </x:c>
      <x:c r="F126" s="13" t="n">
        <x:v>45690</x:v>
      </x:c>
      <x:c r="G126" t="str">
        <x:v>Balance Sheet</x:v>
      </x:c>
      <x:c r="H126" t="str">
        <x:v>Total Liabilities</x:v>
      </x:c>
      <x:c r="I126" s="15" t="n">
        <x:v>89479</x:v>
      </x:c>
      <x:c r="J126" t="str">
        <x:v>https://www.sec.gov/Archives/edgar/data/354950/000162828026019436/hd-20260201.htm</x:v>
      </x:c>
    </x:row>
    <x:row r="127">
      <x:c r="C127" t="str">
        <x:v>The Home Depot, Inc.</x:v>
      </x:c>
      <x:c r="D127" t="str">
        <x:v>HD</x:v>
      </x:c>
      <x:c r="E127" t="n">
        <x:v>2024</x:v>
      </x:c>
      <x:c r="F127" s="13" t="n">
        <x:v>45690</x:v>
      </x:c>
      <x:c r="G127" t="str">
        <x:v>Balance Sheet</x:v>
      </x:c>
      <x:c r="H127" t="str">
        <x:v>Stockholders' Equity</x:v>
      </x:c>
      <x:c r="I127" s="15" t="n">
        <x:v>6640</x:v>
      </x:c>
      <x:c r="J127" t="str">
        <x:v>https://www.sec.gov/Archives/edgar/data/354950/000162828026019436/hd-20260201.htm</x:v>
      </x:c>
    </x:row>
    <x:row r="128">
      <x:c r="C128" t="str">
        <x:v>The Home Depot, Inc.</x:v>
      </x:c>
      <x:c r="D128" t="str">
        <x:v>HD</x:v>
      </x:c>
      <x:c r="E128" t="n">
        <x:v>2024</x:v>
      </x:c>
      <x:c r="F128" s="13" t="n">
        <x:v>45690</x:v>
      </x:c>
      <x:c r="G128" t="str">
        <x:v>Cash Flow</x:v>
      </x:c>
      <x:c r="H128" t="str">
        <x:v>Operating Cash Flow</x:v>
      </x:c>
      <x:c r="I128" s="15" t="n">
        <x:v>19810</x:v>
      </x:c>
      <x:c r="J128" t="str">
        <x:v>https://www.sec.gov/Archives/edgar/data/354950/000162828026019436/hd-20260201.htm</x:v>
      </x:c>
    </x:row>
    <x:row r="129">
      <x:c r="C129" t="str">
        <x:v>The Home Depot, Inc.</x:v>
      </x:c>
      <x:c r="D129" t="str">
        <x:v>HD</x:v>
      </x:c>
      <x:c r="E129" t="n">
        <x:v>2024</x:v>
      </x:c>
      <x:c r="F129" s="13" t="n">
        <x:v>45690</x:v>
      </x:c>
      <x:c r="G129" t="str">
        <x:v>Cash Flow</x:v>
      </x:c>
      <x:c r="H129" t="str">
        <x:v>D&amp;A Add-back</x:v>
      </x:c>
      <x:c r="I129" s="15" t="n">
        <x:v>3336</x:v>
      </x:c>
      <x:c r="J129" t="str">
        <x:v>https://www.sec.gov/Archives/edgar/data/354950/000162828026019436/hd-20260201.htm</x:v>
      </x:c>
    </x:row>
    <x:row r="130">
      <x:c r="C130" t="str">
        <x:v>The Home Depot, Inc.</x:v>
      </x:c>
      <x:c r="D130" t="str">
        <x:v>HD</x:v>
      </x:c>
      <x:c r="E130" t="n">
        <x:v>2024</x:v>
      </x:c>
      <x:c r="F130" s="13" t="n">
        <x:v>45690</x:v>
      </x:c>
      <x:c r="G130" t="str">
        <x:v>Cash Flow</x:v>
      </x:c>
      <x:c r="H130" t="str">
        <x:v>Change in Receivables</x:v>
      </x:c>
      <x:c r="I130" s="15" t="n">
        <x:v>-174</x:v>
      </x:c>
      <x:c r="J130" t="str">
        <x:v>https://www.sec.gov/Archives/edgar/data/354950/000162828026019436/hd-20260201.htm</x:v>
      </x:c>
    </x:row>
    <x:row r="131">
      <x:c r="C131" t="str">
        <x:v>The Home Depot, Inc.</x:v>
      </x:c>
      <x:c r="D131" t="str">
        <x:v>HD</x:v>
      </x:c>
      <x:c r="E131" t="n">
        <x:v>2024</x:v>
      </x:c>
      <x:c r="F131" s="13" t="n">
        <x:v>45690</x:v>
      </x:c>
      <x:c r="G131" t="str">
        <x:v>Cash Flow</x:v>
      </x:c>
      <x:c r="H131" t="str">
        <x:v>Change in Inventory</x:v>
      </x:c>
      <x:c r="I131" s="15"/>
      <x:c r="J131" t="str">
        <x:v>https://www.sec.gov/Archives/edgar/data/354950/000162828026019436/hd-20260201.htm</x:v>
      </x:c>
    </x:row>
    <x:row r="132">
      <x:c r="C132" t="str">
        <x:v>The Home Depot, Inc.</x:v>
      </x:c>
      <x:c r="D132" t="str">
        <x:v>HD</x:v>
      </x:c>
      <x:c r="E132" t="n">
        <x:v>2024</x:v>
      </x:c>
      <x:c r="F132" s="13" t="n">
        <x:v>45690</x:v>
      </x:c>
      <x:c r="G132" t="str">
        <x:v>Cash Flow</x:v>
      </x:c>
      <x:c r="H132" t="str">
        <x:v>Change in A/P &amp; Accrued Liabilities</x:v>
      </x:c>
      <x:c r="I132" s="15" t="n">
        <x:v>518</x:v>
      </x:c>
      <x:c r="J132" t="str">
        <x:v>https://www.sec.gov/Archives/edgar/data/354950/000162828026019436/hd-20260201.htm</x:v>
      </x:c>
    </x:row>
    <x:row r="133">
      <x:c r="C133" t="str">
        <x:v>The Home Depot, Inc.</x:v>
      </x:c>
      <x:c r="D133" t="str">
        <x:v>HD</x:v>
      </x:c>
      <x:c r="E133" t="n">
        <x:v>2024</x:v>
      </x:c>
      <x:c r="F133" s="13" t="n">
        <x:v>45690</x:v>
      </x:c>
      <x:c r="G133" t="str">
        <x:v>Cash Flow</x:v>
      </x:c>
      <x:c r="H133" t="str">
        <x:v>Capital Expenditures</x:v>
      </x:c>
      <x:c r="I133" s="15" t="n">
        <x:v>3485</x:v>
      </x:c>
      <x:c r="J133" t="str">
        <x:v>https://www.sec.gov/Archives/edgar/data/354950/000162828026019436/hd-20260201.htm</x:v>
      </x:c>
    </x:row>
    <x:row r="134">
      <x:c r="C134" t="str">
        <x:v>The Home Depot, Inc.</x:v>
      </x:c>
      <x:c r="D134" t="str">
        <x:v>HD</x:v>
      </x:c>
      <x:c r="E134" t="n">
        <x:v>2024</x:v>
      </x:c>
      <x:c r="F134" s="13" t="n">
        <x:v>45690</x:v>
      </x:c>
      <x:c r="G134" t="str">
        <x:v>Cash Flow</x:v>
      </x:c>
      <x:c r="H134" t="str">
        <x:v>Business Acquisitions</x:v>
      </x:c>
      <x:c r="I134" s="15" t="n">
        <x:v>17644</x:v>
      </x:c>
      <x:c r="J134" t="str">
        <x:v>https://www.sec.gov/Archives/edgar/data/354950/000162828026019436/hd-20260201.htm</x:v>
      </x:c>
    </x:row>
    <x:row r="135">
      <x:c r="C135" t="str">
        <x:v>The Home Depot, Inc.</x:v>
      </x:c>
      <x:c r="D135" t="str">
        <x:v>HD</x:v>
      </x:c>
      <x:c r="E135" t="n">
        <x:v>2024</x:v>
      </x:c>
      <x:c r="F135" s="13" t="n">
        <x:v>45690</x:v>
      </x:c>
      <x:c r="G135" t="str">
        <x:v>Cash Flow</x:v>
      </x:c>
      <x:c r="H135" t="str">
        <x:v>Investing Cash Flow</x:v>
      </x:c>
      <x:c r="I135" s="15" t="n">
        <x:v>-21031</x:v>
      </x:c>
      <x:c r="J135" t="str">
        <x:v>https://www.sec.gov/Archives/edgar/data/354950/000162828026019436/hd-20260201.htm</x:v>
      </x:c>
    </x:row>
    <x:row r="136">
      <x:c r="C136" t="str">
        <x:v>The Home Depot, Inc.</x:v>
      </x:c>
      <x:c r="D136" t="str">
        <x:v>HD</x:v>
      </x:c>
      <x:c r="E136" t="n">
        <x:v>2024</x:v>
      </x:c>
      <x:c r="F136" s="13" t="n">
        <x:v>45690</x:v>
      </x:c>
      <x:c r="G136" t="str">
        <x:v>Cash Flow</x:v>
      </x:c>
      <x:c r="H136" t="str">
        <x:v>Share Repurchases</x:v>
      </x:c>
      <x:c r="I136" s="15" t="n">
        <x:v>649</x:v>
      </x:c>
      <x:c r="J136" t="str">
        <x:v>https://www.sec.gov/Archives/edgar/data/354950/000162828026019436/hd-20260201.htm</x:v>
      </x:c>
    </x:row>
    <x:row r="137">
      <x:c r="C137" t="str">
        <x:v>The Home Depot, Inc.</x:v>
      </x:c>
      <x:c r="D137" t="str">
        <x:v>HD</x:v>
      </x:c>
      <x:c r="E137" t="n">
        <x:v>2024</x:v>
      </x:c>
      <x:c r="F137" s="13" t="n">
        <x:v>45690</x:v>
      </x:c>
      <x:c r="G137" t="str">
        <x:v>Cash Flow</x:v>
      </x:c>
      <x:c r="H137" t="str">
        <x:v>Dividends Paid</x:v>
      </x:c>
      <x:c r="I137" s="15" t="n">
        <x:v>8929</x:v>
      </x:c>
      <x:c r="J137" t="str">
        <x:v>https://www.sec.gov/Archives/edgar/data/354950/000162828026019436/hd-20260201.htm</x:v>
      </x:c>
    </x:row>
    <x:row r="138">
      <x:c r="C138" t="str">
        <x:v>The Home Depot, Inc.</x:v>
      </x:c>
      <x:c r="D138" t="str">
        <x:v>HD</x:v>
      </x:c>
      <x:c r="E138" t="n">
        <x:v>2024</x:v>
      </x:c>
      <x:c r="F138" s="13" t="n">
        <x:v>45690</x:v>
      </x:c>
      <x:c r="G138" t="str">
        <x:v>Cash Flow</x:v>
      </x:c>
      <x:c r="H138" t="str">
        <x:v>Financing Cash Flow</x:v>
      </x:c>
      <x:c r="I138" s="15" t="n">
        <x:v>-694</x:v>
      </x:c>
      <x:c r="J138" t="str">
        <x:v>https://www.sec.gov/Archives/edgar/data/354950/000162828026019436/hd-20260201.htm</x:v>
      </x:c>
    </x:row>
    <x:row r="139">
      <x:c r="C139" t="str">
        <x:v>The Home Depot, Inc.</x:v>
      </x:c>
      <x:c r="D139" t="str">
        <x:v>HD</x:v>
      </x:c>
      <x:c r="E139" t="n">
        <x:v>2025</x:v>
      </x:c>
      <x:c r="F139" s="13" t="n">
        <x:v>46054</x:v>
      </x:c>
      <x:c r="G139" t="str">
        <x:v>Income Statement</x:v>
      </x:c>
      <x:c r="H139" t="str">
        <x:v>Revenue</x:v>
      </x:c>
      <x:c r="I139" s="15" t="n">
        <x:v>164683</x:v>
      </x:c>
      <x:c r="J139" t="str">
        <x:v>https://www.sec.gov/Archives/edgar/data/354950/000162828026019436/hd-20260201.htm</x:v>
      </x:c>
    </x:row>
    <x:row r="140">
      <x:c r="C140" t="str">
        <x:v>The Home Depot, Inc.</x:v>
      </x:c>
      <x:c r="D140" t="str">
        <x:v>HD</x:v>
      </x:c>
      <x:c r="E140" t="n">
        <x:v>2025</x:v>
      </x:c>
      <x:c r="F140" s="13" t="n">
        <x:v>46054</x:v>
      </x:c>
      <x:c r="G140" t="str">
        <x:v>Income Statement</x:v>
      </x:c>
      <x:c r="H140" t="str">
        <x:v>Cost of Sales</x:v>
      </x:c>
      <x:c r="I140" s="15" t="n">
        <x:v>109818</x:v>
      </x:c>
      <x:c r="J140" t="str">
        <x:v>https://www.sec.gov/Archives/edgar/data/354950/000162828026019436/hd-20260201.htm</x:v>
      </x:c>
    </x:row>
    <x:row r="141">
      <x:c r="C141" t="str">
        <x:v>The Home Depot, Inc.</x:v>
      </x:c>
      <x:c r="D141" t="str">
        <x:v>HD</x:v>
      </x:c>
      <x:c r="E141" t="n">
        <x:v>2025</x:v>
      </x:c>
      <x:c r="F141" s="13" t="n">
        <x:v>46054</x:v>
      </x:c>
      <x:c r="G141" t="str">
        <x:v>Income Statement</x:v>
      </x:c>
      <x:c r="H141" t="str">
        <x:v>Gross Profit</x:v>
      </x:c>
      <x:c r="I141" s="15" t="n">
        <x:v>54865</x:v>
      </x:c>
      <x:c r="J141" t="str">
        <x:v>https://www.sec.gov/Archives/edgar/data/354950/000162828026019436/hd-20260201.htm</x:v>
      </x:c>
    </x:row>
    <x:row r="142">
      <x:c r="C142" t="str">
        <x:v>The Home Depot, Inc.</x:v>
      </x:c>
      <x:c r="D142" t="str">
        <x:v>HD</x:v>
      </x:c>
      <x:c r="E142" t="n">
        <x:v>2025</x:v>
      </x:c>
      <x:c r="F142" s="13" t="n">
        <x:v>46054</x:v>
      </x:c>
      <x:c r="G142" t="str">
        <x:v>Income Statement</x:v>
      </x:c>
      <x:c r="H142" t="str">
        <x:v>SG&amp;A</x:v>
      </x:c>
      <x:c r="I142" s="15" t="n">
        <x:v>30702</x:v>
      </x:c>
      <x:c r="J142" t="str">
        <x:v>https://www.sec.gov/Archives/edgar/data/354950/000162828026019436/hd-20260201.htm</x:v>
      </x:c>
    </x:row>
    <x:row r="143">
      <x:c r="C143" t="str">
        <x:v>The Home Depot, Inc.</x:v>
      </x:c>
      <x:c r="D143" t="str">
        <x:v>HD</x:v>
      </x:c>
      <x:c r="E143" t="n">
        <x:v>2025</x:v>
      </x:c>
      <x:c r="F143" s="13" t="n">
        <x:v>46054</x:v>
      </x:c>
      <x:c r="G143" t="str">
        <x:v>Income Statement</x:v>
      </x:c>
      <x:c r="H143" t="str">
        <x:v>Depreciation &amp; Amortization Expense</x:v>
      </x:c>
      <x:c r="I143" s="15" t="n">
        <x:v>3273</x:v>
      </x:c>
      <x:c r="J143" t="str">
        <x:v>https://www.sec.gov/Archives/edgar/data/354950/000162828026019436/hd-20260201.htm</x:v>
      </x:c>
    </x:row>
    <x:row r="144">
      <x:c r="C144" t="str">
        <x:v>The Home Depot, Inc.</x:v>
      </x:c>
      <x:c r="D144" t="str">
        <x:v>HD</x:v>
      </x:c>
      <x:c r="E144" t="n">
        <x:v>2025</x:v>
      </x:c>
      <x:c r="F144" s="13" t="n">
        <x:v>46054</x:v>
      </x:c>
      <x:c r="G144" t="str">
        <x:v>Income Statement</x:v>
      </x:c>
      <x:c r="H144" t="str">
        <x:v>Operating Income</x:v>
      </x:c>
      <x:c r="I144" s="15" t="n">
        <x:v>20890</x:v>
      </x:c>
      <x:c r="J144" t="str">
        <x:v>https://www.sec.gov/Archives/edgar/data/354950/000162828026019436/hd-20260201.htm</x:v>
      </x:c>
    </x:row>
    <x:row r="145">
      <x:c r="C145" t="str">
        <x:v>The Home Depot, Inc.</x:v>
      </x:c>
      <x:c r="D145" t="str">
        <x:v>HD</x:v>
      </x:c>
      <x:c r="E145" t="n">
        <x:v>2025</x:v>
      </x:c>
      <x:c r="F145" s="13" t="n">
        <x:v>46054</x:v>
      </x:c>
      <x:c r="G145" t="str">
        <x:v>Income Statement</x:v>
      </x:c>
      <x:c r="H145" t="str">
        <x:v>Interest Expense</x:v>
      </x:c>
      <x:c r="I145" s="15" t="n">
        <x:v>2412</x:v>
      </x:c>
      <x:c r="J145" t="str">
        <x:v>https://www.sec.gov/Archives/edgar/data/354950/000162828026019436/hd-20260201.htm</x:v>
      </x:c>
    </x:row>
    <x:row r="146">
      <x:c r="C146" t="str">
        <x:v>The Home Depot, Inc.</x:v>
      </x:c>
      <x:c r="D146" t="str">
        <x:v>HD</x:v>
      </x:c>
      <x:c r="E146" t="n">
        <x:v>2025</x:v>
      </x:c>
      <x:c r="F146" s="13" t="n">
        <x:v>46054</x:v>
      </x:c>
      <x:c r="G146" t="str">
        <x:v>Income Statement</x:v>
      </x:c>
      <x:c r="H146" t="str">
        <x:v>Income Before Tax</x:v>
      </x:c>
      <x:c r="I146" s="15" t="n">
        <x:v>18602</x:v>
      </x:c>
      <x:c r="J146" t="str">
        <x:v>https://www.sec.gov/Archives/edgar/data/354950/000162828026019436/hd-20260201.htm</x:v>
      </x:c>
    </x:row>
    <x:row r="147">
      <x:c r="C147" t="str">
        <x:v>The Home Depot, Inc.</x:v>
      </x:c>
      <x:c r="D147" t="str">
        <x:v>HD</x:v>
      </x:c>
      <x:c r="E147" t="n">
        <x:v>2025</x:v>
      </x:c>
      <x:c r="F147" s="13" t="n">
        <x:v>46054</x:v>
      </x:c>
      <x:c r="G147" t="str">
        <x:v>Income Statement</x:v>
      </x:c>
      <x:c r="H147" t="str">
        <x:v>Income Tax Expense</x:v>
      </x:c>
      <x:c r="I147" s="15" t="n">
        <x:v>4446</x:v>
      </x:c>
      <x:c r="J147" t="str">
        <x:v>https://www.sec.gov/Archives/edgar/data/354950/000162828026019436/hd-20260201.htm</x:v>
      </x:c>
    </x:row>
    <x:row r="148">
      <x:c r="C148" t="str">
        <x:v>The Home Depot, Inc.</x:v>
      </x:c>
      <x:c r="D148" t="str">
        <x:v>HD</x:v>
      </x:c>
      <x:c r="E148" t="n">
        <x:v>2025</x:v>
      </x:c>
      <x:c r="F148" s="13" t="n">
        <x:v>46054</x:v>
      </x:c>
      <x:c r="G148" t="str">
        <x:v>Income Statement</x:v>
      </x:c>
      <x:c r="H148" t="str">
        <x:v>Net Income</x:v>
      </x:c>
      <x:c r="I148" s="15" t="n">
        <x:v>14156</x:v>
      </x:c>
      <x:c r="J148" t="str">
        <x:v>https://www.sec.gov/Archives/edgar/data/354950/000162828026019436/hd-20260201.htm</x:v>
      </x:c>
    </x:row>
    <x:row r="149">
      <x:c r="C149" t="str">
        <x:v>The Home Depot, Inc.</x:v>
      </x:c>
      <x:c r="D149" t="str">
        <x:v>HD</x:v>
      </x:c>
      <x:c r="E149" t="n">
        <x:v>2025</x:v>
      </x:c>
      <x:c r="F149" s="13" t="n">
        <x:v>46054</x:v>
      </x:c>
      <x:c r="G149" t="str">
        <x:v>Balance Sheet</x:v>
      </x:c>
      <x:c r="H149" t="str">
        <x:v>Cash &amp; Equivalents</x:v>
      </x:c>
      <x:c r="I149" s="15" t="n">
        <x:v>1389</x:v>
      </x:c>
      <x:c r="J149" t="str">
        <x:v>https://www.sec.gov/Archives/edgar/data/354950/000162828026019436/hd-20260201.htm</x:v>
      </x:c>
    </x:row>
    <x:row r="150">
      <x:c r="C150" t="str">
        <x:v>The Home Depot, Inc.</x:v>
      </x:c>
      <x:c r="D150" t="str">
        <x:v>HD</x:v>
      </x:c>
      <x:c r="E150" t="n">
        <x:v>2025</x:v>
      </x:c>
      <x:c r="F150" s="13" t="n">
        <x:v>46054</x:v>
      </x:c>
      <x:c r="G150" t="str">
        <x:v>Balance Sheet</x:v>
      </x:c>
      <x:c r="H150" t="str">
        <x:v>Accounts Receivable</x:v>
      </x:c>
      <x:c r="I150" s="15" t="n">
        <x:v>5597</x:v>
      </x:c>
      <x:c r="J150" t="str">
        <x:v>https://www.sec.gov/Archives/edgar/data/354950/000162828026019436/hd-20260201.htm</x:v>
      </x:c>
    </x:row>
    <x:row r="151">
      <x:c r="C151" t="str">
        <x:v>The Home Depot, Inc.</x:v>
      </x:c>
      <x:c r="D151" t="str">
        <x:v>HD</x:v>
      </x:c>
      <x:c r="E151" t="n">
        <x:v>2025</x:v>
      </x:c>
      <x:c r="F151" s="13" t="n">
        <x:v>46054</x:v>
      </x:c>
      <x:c r="G151" t="str">
        <x:v>Balance Sheet</x:v>
      </x:c>
      <x:c r="H151" t="str">
        <x:v>Inventory</x:v>
      </x:c>
      <x:c r="I151" s="15" t="n">
        <x:v>25817</x:v>
      </x:c>
      <x:c r="J151" t="str">
        <x:v>https://www.sec.gov/Archives/edgar/data/354950/000162828026019436/hd-20260201.htm</x:v>
      </x:c>
    </x:row>
    <x:row r="152">
      <x:c r="C152" t="str">
        <x:v>The Home Depot, Inc.</x:v>
      </x:c>
      <x:c r="D152" t="str">
        <x:v>HD</x:v>
      </x:c>
      <x:c r="E152" t="n">
        <x:v>2025</x:v>
      </x:c>
      <x:c r="F152" s="13" t="n">
        <x:v>46054</x:v>
      </x:c>
      <x:c r="G152" t="str">
        <x:v>Balance Sheet</x:v>
      </x:c>
      <x:c r="H152" t="str">
        <x:v>Current Assets</x:v>
      </x:c>
      <x:c r="I152" s="15" t="n">
        <x:v>34391</x:v>
      </x:c>
      <x:c r="J152" t="str">
        <x:v>https://www.sec.gov/Archives/edgar/data/354950/000162828026019436/hd-20260201.htm</x:v>
      </x:c>
    </x:row>
    <x:row r="153">
      <x:c r="C153" t="str">
        <x:v>The Home Depot, Inc.</x:v>
      </x:c>
      <x:c r="D153" t="str">
        <x:v>HD</x:v>
      </x:c>
      <x:c r="E153" t="n">
        <x:v>2025</x:v>
      </x:c>
      <x:c r="F153" s="13" t="n">
        <x:v>46054</x:v>
      </x:c>
      <x:c r="G153" t="str">
        <x:v>Balance Sheet</x:v>
      </x:c>
      <x:c r="H153" t="str">
        <x:v>Total Assets</x:v>
      </x:c>
      <x:c r="I153" s="15" t="n">
        <x:v>105095</x:v>
      </x:c>
      <x:c r="J153" t="str">
        <x:v>https://www.sec.gov/Archives/edgar/data/354950/000162828026019436/hd-20260201.htm</x:v>
      </x:c>
    </x:row>
    <x:row r="154">
      <x:c r="C154" t="str">
        <x:v>The Home Depot, Inc.</x:v>
      </x:c>
      <x:c r="D154" t="str">
        <x:v>HD</x:v>
      </x:c>
      <x:c r="E154" t="n">
        <x:v>2025</x:v>
      </x:c>
      <x:c r="F154" s="13" t="n">
        <x:v>46054</x:v>
      </x:c>
      <x:c r="G154" t="str">
        <x:v>Balance Sheet</x:v>
      </x:c>
      <x:c r="H154" t="str">
        <x:v>Accounts Payable</x:v>
      </x:c>
      <x:c r="I154" s="15" t="n">
        <x:v>11491</x:v>
      </x:c>
      <x:c r="J154" t="str">
        <x:v>https://www.sec.gov/Archives/edgar/data/354950/000162828026019436/hd-20260201.htm</x:v>
      </x:c>
    </x:row>
    <x:row r="155">
      <x:c r="C155" t="str">
        <x:v>The Home Depot, Inc.</x:v>
      </x:c>
      <x:c r="D155" t="str">
        <x:v>HD</x:v>
      </x:c>
      <x:c r="E155" t="n">
        <x:v>2025</x:v>
      </x:c>
      <x:c r="F155" s="13" t="n">
        <x:v>46054</x:v>
      </x:c>
      <x:c r="G155" t="str">
        <x:v>Balance Sheet</x:v>
      </x:c>
      <x:c r="H155" t="str">
        <x:v>Current Liabilities</x:v>
      </x:c>
      <x:c r="I155" s="15" t="n">
        <x:v>32424</x:v>
      </x:c>
      <x:c r="J155" t="str">
        <x:v>https://www.sec.gov/Archives/edgar/data/354950/000162828026019436/hd-20260201.htm</x:v>
      </x:c>
    </x:row>
    <x:row r="156">
      <x:c r="C156" t="str">
        <x:v>The Home Depot, Inc.</x:v>
      </x:c>
      <x:c r="D156" t="str">
        <x:v>HD</x:v>
      </x:c>
      <x:c r="E156" t="n">
        <x:v>2025</x:v>
      </x:c>
      <x:c r="F156" s="13" t="n">
        <x:v>46054</x:v>
      </x:c>
      <x:c r="G156" t="str">
        <x:v>Balance Sheet</x:v>
      </x:c>
      <x:c r="H156" t="str">
        <x:v>Current Debt</x:v>
      </x:c>
      <x:c r="I156" s="15" t="n">
        <x:v>4967</x:v>
      </x:c>
      <x:c r="J156" t="str">
        <x:v>https://www.sec.gov/Archives/edgar/data/354950/000162828026019436/hd-20260201.htm</x:v>
      </x:c>
    </x:row>
    <x:row r="157">
      <x:c r="C157" t="str">
        <x:v>The Home Depot, Inc.</x:v>
      </x:c>
      <x:c r="D157" t="str">
        <x:v>HD</x:v>
      </x:c>
      <x:c r="E157" t="n">
        <x:v>2025</x:v>
      </x:c>
      <x:c r="F157" s="13" t="n">
        <x:v>46054</x:v>
      </x:c>
      <x:c r="G157" t="str">
        <x:v>Balance Sheet</x:v>
      </x:c>
      <x:c r="H157" t="str">
        <x:v>Long-term Debt</x:v>
      </x:c>
      <x:c r="I157" s="15" t="n">
        <x:v>46341</x:v>
      </x:c>
      <x:c r="J157" t="str">
        <x:v>https://www.sec.gov/Archives/edgar/data/354950/000162828026019436/hd-20260201.htm</x:v>
      </x:c>
    </x:row>
    <x:row r="158">
      <x:c r="C158" t="str">
        <x:v>The Home Depot, Inc.</x:v>
      </x:c>
      <x:c r="D158" t="str">
        <x:v>HD</x:v>
      </x:c>
      <x:c r="E158" t="n">
        <x:v>2025</x:v>
      </x:c>
      <x:c r="F158" s="13" t="n">
        <x:v>46054</x:v>
      </x:c>
      <x:c r="G158" t="str">
        <x:v>Balance Sheet</x:v>
      </x:c>
      <x:c r="H158" t="str">
        <x:v>Operating Lease Liabilities</x:v>
      </x:c>
      <x:c r="I158" s="15" t="n">
        <x:v>9578</x:v>
      </x:c>
      <x:c r="J158" t="str">
        <x:v>https://www.sec.gov/Archives/edgar/data/354950/000162828026019436/hd-20260201.htm</x:v>
      </x:c>
    </x:row>
    <x:row r="159">
      <x:c r="C159" t="str">
        <x:v>The Home Depot, Inc.</x:v>
      </x:c>
      <x:c r="D159" t="str">
        <x:v>HD</x:v>
      </x:c>
      <x:c r="E159" t="n">
        <x:v>2025</x:v>
      </x:c>
      <x:c r="F159" s="13" t="n">
        <x:v>46054</x:v>
      </x:c>
      <x:c r="G159" t="str">
        <x:v>Balance Sheet</x:v>
      </x:c>
      <x:c r="H159" t="str">
        <x:v>Total Liabilities</x:v>
      </x:c>
      <x:c r="I159" s="15" t="n">
        <x:v>92282</x:v>
      </x:c>
      <x:c r="J159" t="str">
        <x:v>https://www.sec.gov/Archives/edgar/data/354950/000162828026019436/hd-20260201.htm</x:v>
      </x:c>
    </x:row>
    <x:row r="160">
      <x:c r="C160" t="str">
        <x:v>The Home Depot, Inc.</x:v>
      </x:c>
      <x:c r="D160" t="str">
        <x:v>HD</x:v>
      </x:c>
      <x:c r="E160" t="n">
        <x:v>2025</x:v>
      </x:c>
      <x:c r="F160" s="13" t="n">
        <x:v>46054</x:v>
      </x:c>
      <x:c r="G160" t="str">
        <x:v>Balance Sheet</x:v>
      </x:c>
      <x:c r="H160" t="str">
        <x:v>Stockholders' Equity</x:v>
      </x:c>
      <x:c r="I160" s="15" t="n">
        <x:v>12813</x:v>
      </x:c>
      <x:c r="J160" t="str">
        <x:v>https://www.sec.gov/Archives/edgar/data/354950/000162828026019436/hd-20260201.htm</x:v>
      </x:c>
    </x:row>
    <x:row r="161">
      <x:c r="C161" t="str">
        <x:v>The Home Depot, Inc.</x:v>
      </x:c>
      <x:c r="D161" t="str">
        <x:v>HD</x:v>
      </x:c>
      <x:c r="E161" t="n">
        <x:v>2025</x:v>
      </x:c>
      <x:c r="F161" s="13" t="n">
        <x:v>46054</x:v>
      </x:c>
      <x:c r="G161" t="str">
        <x:v>Cash Flow</x:v>
      </x:c>
      <x:c r="H161" t="str">
        <x:v>Operating Cash Flow</x:v>
      </x:c>
      <x:c r="I161" s="15" t="n">
        <x:v>16325</x:v>
      </x:c>
      <x:c r="J161" t="str">
        <x:v>https://www.sec.gov/Archives/edgar/data/354950/000162828026019436/hd-20260201.htm</x:v>
      </x:c>
    </x:row>
    <x:row r="162">
      <x:c r="C162" t="str">
        <x:v>The Home Depot, Inc.</x:v>
      </x:c>
      <x:c r="D162" t="str">
        <x:v>HD</x:v>
      </x:c>
      <x:c r="E162" t="n">
        <x:v>2025</x:v>
      </x:c>
      <x:c r="F162" s="13" t="n">
        <x:v>46054</x:v>
      </x:c>
      <x:c r="G162" t="str">
        <x:v>Cash Flow</x:v>
      </x:c>
      <x:c r="H162" t="str">
        <x:v>D&amp;A Add-back</x:v>
      </x:c>
      <x:c r="I162" s="15" t="n">
        <x:v>3514</x:v>
      </x:c>
      <x:c r="J162" t="str">
        <x:v>https://www.sec.gov/Archives/edgar/data/354950/000162828026019436/hd-20260201.htm</x:v>
      </x:c>
    </x:row>
    <x:row r="163">
      <x:c r="C163" t="str">
        <x:v>The Home Depot, Inc.</x:v>
      </x:c>
      <x:c r="D163" t="str">
        <x:v>HD</x:v>
      </x:c>
      <x:c r="E163" t="n">
        <x:v>2025</x:v>
      </x:c>
      <x:c r="F163" s="13" t="n">
        <x:v>46054</x:v>
      </x:c>
      <x:c r="G163" t="str">
        <x:v>Cash Flow</x:v>
      </x:c>
      <x:c r="H163" t="str">
        <x:v>Change in Receivables</x:v>
      </x:c>
      <x:c r="I163" s="15" t="n">
        <x:v>-107</x:v>
      </x:c>
      <x:c r="J163" t="str">
        <x:v>https://www.sec.gov/Archives/edgar/data/354950/000162828026019436/hd-20260201.htm</x:v>
      </x:c>
    </x:row>
    <x:row r="164">
      <x:c r="C164" t="str">
        <x:v>The Home Depot, Inc.</x:v>
      </x:c>
      <x:c r="D164" t="str">
        <x:v>HD</x:v>
      </x:c>
      <x:c r="E164" t="n">
        <x:v>2025</x:v>
      </x:c>
      <x:c r="F164" s="13" t="n">
        <x:v>46054</x:v>
      </x:c>
      <x:c r="G164" t="str">
        <x:v>Cash Flow</x:v>
      </x:c>
      <x:c r="H164" t="str">
        <x:v>Change in Inventory</x:v>
      </x:c>
      <x:c r="I164" s="15"/>
      <x:c r="J164" t="str">
        <x:v>https://www.sec.gov/Archives/edgar/data/354950/000162828026019436/hd-20260201.htm</x:v>
      </x:c>
    </x:row>
    <x:row r="165">
      <x:c r="C165" t="str">
        <x:v>The Home Depot, Inc.</x:v>
      </x:c>
      <x:c r="D165" t="str">
        <x:v>HD</x:v>
      </x:c>
      <x:c r="E165" t="n">
        <x:v>2025</x:v>
      </x:c>
      <x:c r="F165" s="13" t="n">
        <x:v>46054</x:v>
      </x:c>
      <x:c r="G165" t="str">
        <x:v>Cash Flow</x:v>
      </x:c>
      <x:c r="H165" t="str">
        <x:v>Change in A/P &amp; Accrued Liabilities</x:v>
      </x:c>
      <x:c r="I165" s="15" t="n">
        <x:v>-1058</x:v>
      </x:c>
      <x:c r="J165" t="str">
        <x:v>https://www.sec.gov/Archives/edgar/data/354950/000162828026019436/hd-20260201.htm</x:v>
      </x:c>
    </x:row>
    <x:row r="166">
      <x:c r="C166" t="str">
        <x:v>The Home Depot, Inc.</x:v>
      </x:c>
      <x:c r="D166" t="str">
        <x:v>HD</x:v>
      </x:c>
      <x:c r="E166" t="n">
        <x:v>2025</x:v>
      </x:c>
      <x:c r="F166" s="13" t="n">
        <x:v>46054</x:v>
      </x:c>
      <x:c r="G166" t="str">
        <x:v>Cash Flow</x:v>
      </x:c>
      <x:c r="H166" t="str">
        <x:v>Capital Expenditures</x:v>
      </x:c>
      <x:c r="I166" s="15" t="n">
        <x:v>3679</x:v>
      </x:c>
      <x:c r="J166" t="str">
        <x:v>https://www.sec.gov/Archives/edgar/data/354950/000162828026019436/hd-20260201.htm</x:v>
      </x:c>
    </x:row>
    <x:row r="167">
      <x:c r="C167" t="str">
        <x:v>The Home Depot, Inc.</x:v>
      </x:c>
      <x:c r="D167" t="str">
        <x:v>HD</x:v>
      </x:c>
      <x:c r="E167" t="n">
        <x:v>2025</x:v>
      </x:c>
      <x:c r="F167" s="13" t="n">
        <x:v>46054</x:v>
      </x:c>
      <x:c r="G167" t="str">
        <x:v>Cash Flow</x:v>
      </x:c>
      <x:c r="H167" t="str">
        <x:v>Business Acquisitions</x:v>
      </x:c>
      <x:c r="I167" s="15" t="n">
        <x:v>5410</x:v>
      </x:c>
      <x:c r="J167" t="str">
        <x:v>https://www.sec.gov/Archives/edgar/data/354950/000162828026019436/hd-20260201.htm</x:v>
      </x:c>
    </x:row>
    <x:row r="168">
      <x:c r="C168" t="str">
        <x:v>The Home Depot, Inc.</x:v>
      </x:c>
      <x:c r="D168" t="str">
        <x:v>HD</x:v>
      </x:c>
      <x:c r="E168" t="n">
        <x:v>2025</x:v>
      </x:c>
      <x:c r="F168" s="13" t="n">
        <x:v>46054</x:v>
      </x:c>
      <x:c r="G168" t="str">
        <x:v>Cash Flow</x:v>
      </x:c>
      <x:c r="H168" t="str">
        <x:v>Investing Cash Flow</x:v>
      </x:c>
      <x:c r="I168" s="15" t="n">
        <x:v>-8980</x:v>
      </x:c>
      <x:c r="J168" t="str">
        <x:v>https://www.sec.gov/Archives/edgar/data/354950/000162828026019436/hd-20260201.htm</x:v>
      </x:c>
    </x:row>
    <x:row r="169">
      <x:c r="C169" t="str">
        <x:v>The Home Depot, Inc.</x:v>
      </x:c>
      <x:c r="D169" t="str">
        <x:v>HD</x:v>
      </x:c>
      <x:c r="E169" t="n">
        <x:v>2025</x:v>
      </x:c>
      <x:c r="F169" s="13" t="n">
        <x:v>46054</x:v>
      </x:c>
      <x:c r="G169" t="str">
        <x:v>Cash Flow</x:v>
      </x:c>
      <x:c r="H169" t="str">
        <x:v>Share Repurchases</x:v>
      </x:c>
      <x:c r="I169" s="15" t="n">
        <x:v>0</x:v>
      </x:c>
      <x:c r="J169" t="str">
        <x:v>https://www.sec.gov/Archives/edgar/data/354950/000162828026019436/hd-20260201.htm</x:v>
      </x:c>
    </x:row>
    <x:row r="170">
      <x:c r="C170" t="str">
        <x:v>The Home Depot, Inc.</x:v>
      </x:c>
      <x:c r="D170" t="str">
        <x:v>HD</x:v>
      </x:c>
      <x:c r="E170" t="n">
        <x:v>2025</x:v>
      </x:c>
      <x:c r="F170" s="13" t="n">
        <x:v>46054</x:v>
      </x:c>
      <x:c r="G170" t="str">
        <x:v>Cash Flow</x:v>
      </x:c>
      <x:c r="H170" t="str">
        <x:v>Dividends Paid</x:v>
      </x:c>
      <x:c r="I170" s="15" t="n">
        <x:v>9152</x:v>
      </x:c>
      <x:c r="J170" t="str">
        <x:v>https://www.sec.gov/Archives/edgar/data/354950/000162828026019436/hd-20260201.htm</x:v>
      </x:c>
    </x:row>
    <x:row r="171">
      <x:c r="C171" t="str">
        <x:v>The Home Depot, Inc.</x:v>
      </x:c>
      <x:c r="D171" t="str">
        <x:v>HD</x:v>
      </x:c>
      <x:c r="E171" t="n">
        <x:v>2025</x:v>
      </x:c>
      <x:c r="F171" s="13" t="n">
        <x:v>46054</x:v>
      </x:c>
      <x:c r="G171" t="str">
        <x:v>Cash Flow</x:v>
      </x:c>
      <x:c r="H171" t="str">
        <x:v>Financing Cash Flow</x:v>
      </x:c>
      <x:c r="I171" s="15" t="n">
        <x:v>-7714</x:v>
      </x:c>
      <x:c r="J171" t="str">
        <x:v>https://www.sec.gov/Archives/edgar/data/354950/000162828026019436/hd-20260201.htm</x:v>
      </x:c>
    </x:row>
  </x:sheetData>
  <x:mergeCells>
    <x:mergeCell ref="C2:N2"/>
    <x:mergeCell ref="C4:N4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rgb="FFA6A6A6"/>
  </x:sheetPr>
  <x:sheetViews>
    <x:sheetView showGridLines="0" workbookViewId="0"/>
  </x:sheetViews>
  <x:sheetFormatPr defaultRowHeight="15"/>
  <x:cols>
    <x:col min="1" max="1" width="3" hidden="0" customWidth="1"/>
    <x:col min="2" max="2" width="3" hidden="0" customWidth="1"/>
    <x:col min="3" max="3" width="29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1"/>
      <x:c r="B2" s="1"/>
      <x:c r="C2" s="2" t="str">
        <x:v>Audit checks</x:v>
      </x:c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1"/>
      <x:c r="B3" s="1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1"/>
      <x:c r="B4" s="1"/>
      <x:c r="C4" s="4" t="str">
        <x:v>Differences are shown in USD millions. Values above 0.01 require review.</x:v>
      </x:c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1"/>
      <x:c r="B6" s="1"/>
      <x:c r="C6" s="9" t="str">
        <x:v>Check</x:v>
      </x:c>
      <x:c r="D6" s="10" t="n">
        <x:v>2021</x:v>
      </x:c>
      <x:c r="E6" s="10" t="n">
        <x:v>2022</x:v>
      </x:c>
      <x:c r="F6" s="10" t="n">
        <x:v>2023</x:v>
      </x:c>
      <x:c r="G6" s="10" t="n">
        <x:v>2024</x:v>
      </x:c>
      <x:c r="H6" s="11" t="n">
        <x:v>2025</x:v>
      </x:c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1"/>
      <x:c r="B7" s="1"/>
      <x:c r="C7" s="1" t="str">
        <x:v>Gross profit: revenue less cost of sales</x:v>
      </x:c>
      <x:c r="D7" s="70" t="n">
        <x:f>'Statements'!D12-('Statements'!D9-'Statements'!D11)</x:f>
        <x:v>0</x:v>
      </x:c>
      <x:c r="E7" s="70" t="n">
        <x:f>'Statements'!E12-('Statements'!E9-'Statements'!E11)</x:f>
        <x:v>0</x:v>
      </x:c>
      <x:c r="F7" s="70" t="n">
        <x:f>'Statements'!F12-('Statements'!F9-'Statements'!F11)</x:f>
        <x:v>0</x:v>
      </x:c>
      <x:c r="G7" s="70" t="n">
        <x:f>'Statements'!G12-('Statements'!G9-'Statements'!G11)</x:f>
        <x:v>0</x:v>
      </x:c>
      <x:c r="H7" s="70" t="n">
        <x:f>'Statements'!H12-('Statements'!H9-'Statements'!H11)</x:f>
        <x:v>0</x:v>
      </x:c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1"/>
      <x:c r="B8" s="1"/>
      <x:c r="C8" s="1" t="str">
        <x:v>Balance sheet: assets less liabilities and equity</x:v>
      </x:c>
      <x:c r="D8" s="70" t="n">
        <x:f>'Statements'!D40-'Statements'!D47-'Statements'!D48</x:f>
        <x:v>0</x:v>
      </x:c>
      <x:c r="E8" s="70" t="n">
        <x:f>'Statements'!E40-'Statements'!E47-'Statements'!E48</x:f>
        <x:v>0</x:v>
      </x:c>
      <x:c r="F8" s="70" t="n">
        <x:f>'Statements'!F40-'Statements'!F47-'Statements'!F48</x:f>
        <x:v>0</x:v>
      </x:c>
      <x:c r="G8" s="70" t="n">
        <x:f>'Statements'!G40-'Statements'!G47-'Statements'!G48</x:f>
        <x:v>0</x:v>
      </x:c>
      <x:c r="H8" s="70" t="n">
        <x:f>'Statements'!H40-'Statements'!H47-'Statements'!H48</x:f>
        <x:v>0</x:v>
      </x:c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1"/>
      <x:c r="B9" s="1"/>
      <x:c r="C9" s="1" t="str">
        <x:v>Operating expenses: gross profit less operating income vs SG&amp;A plus D&amp;A</x:v>
      </x:c>
      <x:c r="D9" s="70" t="n">
        <x:f>('Statements'!D12-'Statements'!D18)-('Statements'!D15+'Statements'!D17)</x:f>
        <x:v>0</x:v>
      </x:c>
      <x:c r="E9" s="70" t="n">
        <x:f>('Statements'!E12-'Statements'!E18)-('Statements'!E15+'Statements'!E17)</x:f>
        <x:v>0</x:v>
      </x:c>
      <x:c r="F9" s="70" t="n">
        <x:f>('Statements'!F12-'Statements'!F18)-('Statements'!F15+'Statements'!F17)</x:f>
        <x:v>0</x:v>
      </x:c>
      <x:c r="G9" s="70" t="n">
        <x:f>('Statements'!G12-'Statements'!G18)-('Statements'!G15+'Statements'!G17)</x:f>
        <x:v>0</x:v>
      </x:c>
      <x:c r="H9" s="70" t="n">
        <x:f>('Statements'!H12-'Statements'!H18)-('Statements'!H15+'Statements'!H17)</x:f>
        <x:v>0</x:v>
      </x:c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1"/>
      <x:c r="B10" s="1"/>
      <x:c r="C10" s="1" t="str">
        <x:v>Operating-income attribution: explained less reported change</x:v>
      </x:c>
      <x:c r="D10" s="70" t="str">
        <x:f>""</x:f>
      </x:c>
      <x:c r="E10" s="70" t="n">
        <x:f>'Advanced Analysis'!D30</x:f>
        <x:v>7.503331289626658e-12</x:v>
      </x:c>
      <x:c r="F10" s="70" t="n">
        <x:f>'Advanced Analysis'!E30</x:f>
        <x:v>-2.7284841053187847e-12</x:v>
      </x:c>
      <x:c r="G10" s="70" t="n">
        <x:f>'Advanced Analysis'!F30</x:f>
        <x:v>2.2737367544323206e-12</x:v>
      </x:c>
      <x:c r="H10" s="70" t="n">
        <x:f>'Advanced Analysis'!G30</x:f>
        <x:v>-4.320099833421409e-12</x:v>
      </x:c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1"/>
      <x:c r="B11" s="1"/>
      <x:c r="C11" s="1" t="str">
        <x:v>Acquisition-adjusted revenue: Primary plus Other less Total</x:v>
      </x:c>
      <x:c r="D11" s="70" t="str">
        <x:f>""</x:f>
      </x:c>
      <x:c r="E11" s="70" t="str">
        <x:f>""</x:f>
      </x:c>
      <x:c r="F11" s="70" t="n">
        <x:f>'Advanced Analysis'!D34+'Advanced Analysis'!D35-'Advanced Analysis'!D36</x:f>
        <x:v>0</x:v>
      </x:c>
      <x:c r="G11" s="70" t="n">
        <x:f>'Advanced Analysis'!E34+'Advanced Analysis'!E35-'Advanced Analysis'!E36</x:f>
        <x:v>0</x:v>
      </x:c>
      <x:c r="H11" s="70" t="n">
        <x:f>'Advanced Analysis'!F34+'Advanced Analysis'!F35-'Advanced Analysis'!F36</x:f>
        <x:v>0</x:v>
      </x:c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</x:sheetData>
  <x:mergeCells>
    <x:mergeCell ref="C2:N2"/>
    <x:mergeCell ref="C4:N4"/>
  </x:mergeCells>
  <x:conditionalFormatting sqref="D7:H11">
    <x:cfRule type="cellIs" dxfId="0" priority="1" operator="greaterThan">
      <x:formula>0.01</x:formula>
    </x:cfRule>
    <x:cfRule type="cellIs" dxfId="1" priority="2" operator="lessThan">
      <x:formula>-0.01</x:formula>
    </x:cfRule>
  </x:conditionalFormatting>
  <x:pageMargins left="0.7" right="0.7" top="0.75" bottom="0.75" header="0.3" footer="0.3"/>
</x:worksheet>
</file>